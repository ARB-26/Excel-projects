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/>
  <mc:AlternateContent xmlns:mc="http://schemas.openxmlformats.org/markup-compatibility/2006">
    <mc:Choice Requires="x15">
      <x15ac:absPath xmlns:x15ac="http://schemas.microsoft.com/office/spreadsheetml/2010/11/ac" url="https://b2wcompletetraining057.sharepoint.com/sites/2026-06-29_DATA/Class Materials/Week 1 Excel/Day 4/"/>
    </mc:Choice>
  </mc:AlternateContent>
  <xr:revisionPtr revIDLastSave="264" documentId="10_ncr:8000_{CF7A17D4-362F-4BB2-9881-95585F83EA8E}" xr6:coauthVersionLast="47" xr6:coauthVersionMax="47" xr10:uidLastSave="{AB935F5D-B74B-4BD0-9507-18F4479F22E9}"/>
  <bookViews>
    <workbookView xWindow="-28920" yWindow="-120" windowWidth="29040" windowHeight="16440" activeTab="1" xr2:uid="{00000000-000D-0000-FFFF-FFFF00000000}"/>
  </bookViews>
  <sheets>
    <sheet name="Payroll" sheetId="2" r:id="rId1"/>
    <sheet name="Headcount &amp; Salaries" sheetId="3" r:id="rId2"/>
    <sheet name="Sheet1" sheetId="4" r:id="rId3"/>
  </sheets>
  <definedNames>
    <definedName name="Salary">'Headcount &amp; Salaries'!$A$4:$D$17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3" l="1" a="1"/>
  <c r="E24" i="3"/>
  <c r="C28" i="3"/>
  <c r="C27" i="3"/>
  <c r="H22" i="3"/>
  <c r="G22" i="3"/>
  <c r="F22" i="3"/>
  <c r="I22" i="3" s="1"/>
  <c r="H21" i="3"/>
  <c r="G21" i="3"/>
  <c r="F21" i="3"/>
  <c r="I21" i="3" s="1"/>
  <c r="F9" i="2"/>
  <c r="G9" i="2"/>
  <c r="H9" i="2"/>
  <c r="I9" i="2"/>
  <c r="J9" i="2"/>
  <c r="K9" i="2"/>
  <c r="L9" i="2"/>
  <c r="M9" i="2"/>
  <c r="C17" i="2"/>
  <c r="D17" i="2"/>
  <c r="E17" i="2"/>
  <c r="F17" i="2"/>
  <c r="G17" i="2"/>
  <c r="H17" i="2"/>
  <c r="I17" i="2"/>
  <c r="J17" i="2"/>
  <c r="K17" i="2"/>
  <c r="L17" i="2"/>
  <c r="M17" i="2"/>
  <c r="N17" i="2"/>
  <c r="H19" i="2"/>
  <c r="H20" i="2" s="1"/>
  <c r="I19" i="2"/>
  <c r="J19" i="2"/>
  <c r="L19" i="2"/>
  <c r="L21" i="2" s="1"/>
  <c r="M19" i="2"/>
  <c r="I20" i="2"/>
  <c r="J20" i="2"/>
  <c r="L20" i="2"/>
  <c r="M20" i="2"/>
  <c r="H21" i="2"/>
  <c r="I21" i="2"/>
  <c r="J21" i="2"/>
  <c r="M21" i="2"/>
  <c r="H22" i="2"/>
  <c r="I22" i="2"/>
  <c r="J22" i="2"/>
  <c r="L22" i="2"/>
  <c r="M22" i="2"/>
  <c r="H23" i="2"/>
  <c r="I23" i="2"/>
  <c r="J23" i="2"/>
  <c r="L23" i="2"/>
  <c r="M23" i="2"/>
  <c r="O17" i="2"/>
  <c r="B17" i="2"/>
  <c r="C9" i="2"/>
  <c r="C19" i="2" s="1"/>
  <c r="D9" i="2"/>
  <c r="D19" i="2" s="1"/>
  <c r="E9" i="2"/>
  <c r="E19" i="2" s="1"/>
  <c r="F19" i="2"/>
  <c r="G19" i="2"/>
  <c r="K19" i="2"/>
  <c r="N9" i="2"/>
  <c r="N19" i="2" s="1"/>
  <c r="O9" i="2"/>
  <c r="O19" i="2" s="1"/>
  <c r="B9" i="2"/>
  <c r="B19" i="2" s="1"/>
  <c r="N20" i="2" l="1"/>
  <c r="N21" i="2"/>
  <c r="N22" i="2"/>
  <c r="N23" i="2"/>
  <c r="D20" i="2"/>
  <c r="D21" i="2"/>
  <c r="D22" i="2"/>
  <c r="D23" i="2"/>
  <c r="C20" i="2"/>
  <c r="C21" i="2"/>
  <c r="C22" i="2"/>
  <c r="C23" i="2"/>
  <c r="F20" i="2"/>
  <c r="F21" i="2"/>
  <c r="F22" i="2"/>
  <c r="F23" i="2"/>
  <c r="K20" i="2"/>
  <c r="K21" i="2"/>
  <c r="K22" i="2"/>
  <c r="K23" i="2"/>
  <c r="E20" i="2"/>
  <c r="E21" i="2"/>
  <c r="E22" i="2"/>
  <c r="E23" i="2"/>
  <c r="G20" i="2"/>
  <c r="G21" i="2"/>
  <c r="G22" i="2"/>
  <c r="G23" i="2"/>
  <c r="O22" i="2"/>
  <c r="O21" i="2"/>
  <c r="O20" i="2"/>
  <c r="O23" i="2" s="1"/>
  <c r="B28" i="3"/>
  <c r="B27" i="3"/>
  <c r="B29" i="3" s="1"/>
  <c r="C23" i="3"/>
  <c r="B23" i="3"/>
  <c r="C22" i="3"/>
  <c r="B22" i="3"/>
  <c r="C21" i="3"/>
  <c r="B21" i="3"/>
  <c r="B24" i="3" l="1"/>
  <c r="C24" i="3"/>
  <c r="C29" i="3"/>
  <c r="B22" i="2"/>
  <c r="B21" i="2"/>
  <c r="B20" i="2"/>
  <c r="B23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<sst xmlns="http://schemas.openxmlformats.org/spreadsheetml/2006/main" count="256" uniqueCount="75">
  <si>
    <t>Payroll</t>
  </si>
  <si>
    <t>Payroll Rules</t>
  </si>
  <si>
    <t>HMRC Website</t>
  </si>
  <si>
    <t>Tax</t>
  </si>
  <si>
    <t>Social Security</t>
  </si>
  <si>
    <t>Pension</t>
  </si>
  <si>
    <t>Johnny Caine</t>
  </si>
  <si>
    <t>George Marley</t>
  </si>
  <si>
    <t>Betty Anan</t>
  </si>
  <si>
    <t>Paris Winfrey</t>
  </si>
  <si>
    <t>Ozzy Dickens</t>
  </si>
  <si>
    <t>Johnny Roberts</t>
  </si>
  <si>
    <t>Charles Monroe</t>
  </si>
  <si>
    <t>Ronnie Bush</t>
  </si>
  <si>
    <t>Michal Jolie</t>
  </si>
  <si>
    <t>JK Spears</t>
  </si>
  <si>
    <t>Ozzy Rowling</t>
  </si>
  <si>
    <t>Oprah Hilton</t>
  </si>
  <si>
    <t>Bill Biggs</t>
  </si>
  <si>
    <t>Angelina Osbourne</t>
  </si>
  <si>
    <t>Hourly Rate</t>
  </si>
  <si>
    <t>Hours Worked</t>
  </si>
  <si>
    <t>Monday</t>
  </si>
  <si>
    <t>Tuesday</t>
  </si>
  <si>
    <t>Wednesday</t>
  </si>
  <si>
    <t>Thursday</t>
  </si>
  <si>
    <t>Friday</t>
  </si>
  <si>
    <t>Total</t>
  </si>
  <si>
    <t>Gross</t>
  </si>
  <si>
    <t>Net Pay</t>
  </si>
  <si>
    <t>Headcount &amp; Salaries</t>
  </si>
  <si>
    <t>Name</t>
  </si>
  <si>
    <t>Gender</t>
  </si>
  <si>
    <t>Salary</t>
  </si>
  <si>
    <t>Department</t>
  </si>
  <si>
    <t>M</t>
  </si>
  <si>
    <t>Sales</t>
  </si>
  <si>
    <t>Purchasing</t>
  </si>
  <si>
    <t>F</t>
  </si>
  <si>
    <t>Logistics</t>
  </si>
  <si>
    <t>Headcount</t>
  </si>
  <si>
    <t>Total:</t>
  </si>
  <si>
    <t>Year</t>
  </si>
  <si>
    <t>Category</t>
  </si>
  <si>
    <t>Product</t>
  </si>
  <si>
    <t>Rating</t>
  </si>
  <si>
    <t>Components</t>
  </si>
  <si>
    <t>Chains</t>
  </si>
  <si>
    <t>Clothing</t>
  </si>
  <si>
    <t>Socks</t>
  </si>
  <si>
    <t>Bib Shorts</t>
  </si>
  <si>
    <t>Shorts</t>
  </si>
  <si>
    <t>Tights</t>
  </si>
  <si>
    <t>Handlebars</t>
  </si>
  <si>
    <t>Brakes</t>
  </si>
  <si>
    <t>Bikes</t>
  </si>
  <si>
    <t>Mountain Bikes</t>
  </si>
  <si>
    <t>Accessories</t>
  </si>
  <si>
    <t>Helmets</t>
  </si>
  <si>
    <t>Lights</t>
  </si>
  <si>
    <t>Locks</t>
  </si>
  <si>
    <t>Bottom Brackets</t>
  </si>
  <si>
    <t>Jerseys</t>
  </si>
  <si>
    <t>Road Bikes</t>
  </si>
  <si>
    <t>Tyres and Tubes</t>
  </si>
  <si>
    <t>Cargo Bike</t>
  </si>
  <si>
    <t>Bike Racks</t>
  </si>
  <si>
    <t>Caps</t>
  </si>
  <si>
    <t>Pumps</t>
  </si>
  <si>
    <t>Wheels</t>
  </si>
  <si>
    <t>Touring Bikes</t>
  </si>
  <si>
    <t>Vests</t>
  </si>
  <si>
    <t>Pedals</t>
  </si>
  <si>
    <t>Gloves</t>
  </si>
  <si>
    <t>Saddles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</si>
</sst>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-* #,##0_-;\-* #,##0_-;_-* &quot;-&quot;??_-;_-@_-"/>
    <numFmt numFmtId="165" formatCode="_-[$£-809]* #,##0.00_-;\-[$£-809]* #,##0.00_-;_-[$£-809]* &quot;-&quot;??_-;_-@_-"/>
    <numFmt numFmtId="166" formatCode="&quot;£&quot;#,##0.00"/>
    <numFmt numFmtId="168" formatCode="_(&quot;£&quot;* #,##0_);_(&quot;£&quot;* \(#,##0\);_(&quot;£&quot;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" fillId="2" borderId="4" applyNumberFormat="0" applyFont="0" applyAlignment="0" applyProtection="0"/>
    <xf numFmtId="0" fontId="6" fillId="0" borderId="5" applyNumberFormat="0" applyFill="0" applyAlignment="0" applyProtection="0"/>
    <xf numFmtId="0" fontId="7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2"/>
    <xf numFmtId="0" fontId="5" fillId="0" borderId="0" xfId="6"/>
    <xf numFmtId="0" fontId="5" fillId="0" borderId="3" xfId="5"/>
    <xf numFmtId="0" fontId="4" fillId="0" borderId="2" xfId="4"/>
    <xf numFmtId="0" fontId="5" fillId="0" borderId="0" xfId="5" applyFill="1" applyBorder="1"/>
    <xf numFmtId="0" fontId="6" fillId="0" borderId="5" xfId="8"/>
    <xf numFmtId="164" fontId="6" fillId="0" borderId="5" xfId="8" applyNumberFormat="1"/>
    <xf numFmtId="0" fontId="3" fillId="0" borderId="0" xfId="3" applyBorder="1"/>
    <xf numFmtId="9" fontId="5" fillId="0" borderId="0" xfId="6" applyNumberFormat="1"/>
    <xf numFmtId="43" fontId="0" fillId="0" borderId="0" xfId="1" applyFont="1"/>
    <xf numFmtId="0" fontId="6" fillId="0" borderId="0" xfId="0" applyFont="1"/>
    <xf numFmtId="43" fontId="6" fillId="0" borderId="0" xfId="1" applyFont="1"/>
    <xf numFmtId="0" fontId="0" fillId="0" borderId="0" xfId="0" applyAlignment="1">
      <alignment textRotation="90"/>
    </xf>
    <xf numFmtId="0" fontId="5" fillId="0" borderId="6" xfId="5" applyBorder="1"/>
    <xf numFmtId="0" fontId="5" fillId="0" borderId="6" xfId="6" applyBorder="1" applyAlignment="1">
      <alignment textRotation="90"/>
    </xf>
    <xf numFmtId="0" fontId="0" fillId="2" borderId="4" xfId="7" applyFont="1"/>
    <xf numFmtId="0" fontId="7" fillId="0" borderId="0" xfId="9"/>
    <xf numFmtId="43" fontId="0" fillId="0" borderId="0" xfId="0" applyNumberFormat="1"/>
    <xf numFmtId="14" fontId="0" fillId="0" borderId="0" xfId="0" applyNumberFormat="1"/>
    <xf numFmtId="0" fontId="5" fillId="0" borderId="0" xfId="5" applyBorder="1"/>
    <xf numFmtId="21" fontId="0" fillId="0" borderId="0" xfId="0" applyNumberFormat="1"/>
    <xf numFmtId="22" fontId="0" fillId="0" borderId="0" xfId="0" applyNumberFormat="1"/>
    <xf numFmtId="165" fontId="0" fillId="0" borderId="0" xfId="1" applyNumberFormat="1" applyFont="1"/>
    <xf numFmtId="165" fontId="6" fillId="0" borderId="5" xfId="8" applyNumberFormat="1"/>
    <xf numFmtId="44" fontId="0" fillId="0" borderId="0" xfId="10" applyFont="1"/>
    <xf numFmtId="166" fontId="0" fillId="0" borderId="0" xfId="1" applyNumberFormat="1" applyFont="1"/>
    <xf numFmtId="166" fontId="6" fillId="0" borderId="5" xfId="8" applyNumberFormat="1"/>
    <xf numFmtId="44" fontId="6" fillId="0" borderId="5" xfId="10" applyFont="1" applyBorder="1"/>
    <xf numFmtId="0" fontId="0" fillId="0" borderId="0" xfId="0" applyNumberFormat="1"/>
    <xf numFmtId="168" fontId="0" fillId="0" borderId="0" xfId="0" applyNumberFormat="1"/>
    <xf numFmtId="9" fontId="0" fillId="0" borderId="0" xfId="0" applyNumberFormat="1"/>
  </cellXfs>
  <cellStyles count="11">
    <cellStyle name="Comma" xfId="1" builtinId="3"/>
    <cellStyle name="Currency" xfId="10" builtinId="4"/>
    <cellStyle name="Heading 1" xfId="3" builtinId="16"/>
    <cellStyle name="Heading 2" xfId="4" builtinId="17"/>
    <cellStyle name="Heading 3" xfId="5" builtinId="18"/>
    <cellStyle name="Heading 4" xfId="6" builtinId="19"/>
    <cellStyle name="Hyperlink" xfId="9" builtinId="8"/>
    <cellStyle name="Normal" xfId="0" builtinId="0"/>
    <cellStyle name="Note" xfId="7" builtinId="10"/>
    <cellStyle name="Title" xfId="2" builtinId="15"/>
    <cellStyle name="Total" xfId="8" builtinId="25"/>
  </cellStyles>
  <dxfs count="6">
    <dxf>
      <numFmt numFmtId="13" formatCode="0%"/>
    </dxf>
    <dxf>
      <numFmt numFmtId="168" formatCode="_(&quot;£&quot;* #,##0_);_(&quot;£&quot;* \(#,##0\);_(&quot;£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80EEB1-72DF-455D-8765-70C613F9645A}" name="Table1" displayName="Table1" ref="A1:E76" totalsRowShown="0" headerRowDxfId="5">
  <autoFilter ref="A1:E76" xr:uid="{0480EEB1-72DF-455D-8765-70C613F9645A}"/>
  <tableColumns count="5">
    <tableColumn id="1" xr3:uid="{D75F0388-A8E2-4D6C-9845-79FFDA2507F9}" name="Year" dataDxfId="4"/>
    <tableColumn id="2" xr3:uid="{103FB5DF-68CF-4870-A993-090FD5A75DAB}" name="Category" dataDxfId="3"/>
    <tableColumn id="3" xr3:uid="{3BB14425-C740-4045-829C-02F4EEA0E7A9}" name="Product" dataDxfId="2"/>
    <tableColumn id="4" xr3:uid="{93BB298B-A80D-4089-8C41-B86E79D5111A}" name="Sales" dataDxfId="1"/>
    <tableColumn id="5" xr3:uid="{412B613E-5827-4EF5-8FB8-73E283509DD7}" name="Rating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government/organisations/hm-revenue-custom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opLeftCell="A15" workbookViewId="0">
      <selection activeCell="O26" sqref="O26"/>
    </sheetView>
  </sheetViews>
  <sheetFormatPr defaultRowHeight="15"/>
  <cols>
    <col min="1" max="1" width="16.7109375" bestFit="1" customWidth="1"/>
    <col min="2" max="4" width="9" bestFit="1" customWidth="1"/>
    <col min="5" max="11" width="9.140625" bestFit="1" customWidth="1"/>
    <col min="12" max="12" width="9.28515625" customWidth="1"/>
    <col min="13" max="14" width="9.140625" bestFit="1" customWidth="1"/>
    <col min="15" max="15" width="9.85546875" bestFit="1" customWidth="1"/>
  </cols>
  <sheetData>
    <row r="1" spans="1:16" ht="23.25">
      <c r="A1" s="1" t="s">
        <v>0</v>
      </c>
    </row>
    <row r="2" spans="1:16" ht="9.75" customHeight="1"/>
    <row r="3" spans="1:16" ht="19.5">
      <c r="A3" s="8" t="s">
        <v>1</v>
      </c>
      <c r="B3" s="8"/>
      <c r="E3" s="17" t="s">
        <v>2</v>
      </c>
    </row>
    <row r="4" spans="1:16">
      <c r="A4" s="2" t="s">
        <v>3</v>
      </c>
      <c r="B4" s="9">
        <v>0.32</v>
      </c>
    </row>
    <row r="5" spans="1:16">
      <c r="A5" s="2" t="s">
        <v>4</v>
      </c>
      <c r="B5" s="9">
        <v>0.08</v>
      </c>
    </row>
    <row r="6" spans="1:16">
      <c r="A6" s="2" t="s">
        <v>5</v>
      </c>
      <c r="B6" s="9">
        <v>0.05</v>
      </c>
    </row>
    <row r="7" spans="1:16" ht="6.75" customHeight="1"/>
    <row r="8" spans="1:16" ht="96.75" customHeight="1">
      <c r="A8" s="14"/>
      <c r="B8" s="15" t="s">
        <v>6</v>
      </c>
      <c r="C8" s="15" t="s">
        <v>7</v>
      </c>
      <c r="D8" s="15" t="s">
        <v>8</v>
      </c>
      <c r="E8" s="15" t="s">
        <v>9</v>
      </c>
      <c r="F8" s="15" t="s">
        <v>10</v>
      </c>
      <c r="G8" s="15" t="s">
        <v>11</v>
      </c>
      <c r="H8" s="15" t="s">
        <v>12</v>
      </c>
      <c r="I8" s="15" t="s">
        <v>13</v>
      </c>
      <c r="J8" s="15" t="s">
        <v>14</v>
      </c>
      <c r="K8" s="15" t="s">
        <v>15</v>
      </c>
      <c r="L8" s="15" t="s">
        <v>16</v>
      </c>
      <c r="M8" s="15" t="s">
        <v>17</v>
      </c>
      <c r="N8" s="15" t="s">
        <v>18</v>
      </c>
      <c r="O8" s="15" t="s">
        <v>19</v>
      </c>
      <c r="P8" s="13"/>
    </row>
    <row r="9" spans="1:16">
      <c r="A9" s="5" t="s">
        <v>20</v>
      </c>
      <c r="B9" s="25">
        <f t="shared" ref="B9:O9" si="0">VLOOKUP(B8,Salary,3,FALSE)/40/52</f>
        <v>18.203846153846154</v>
      </c>
      <c r="C9" s="25">
        <f t="shared" si="0"/>
        <v>12.571153846153846</v>
      </c>
      <c r="D9" s="25">
        <f t="shared" si="0"/>
        <v>12.665865384615385</v>
      </c>
      <c r="E9" s="25">
        <f t="shared" si="0"/>
        <v>11.327884615384615</v>
      </c>
      <c r="F9" s="25">
        <f t="shared" si="0"/>
        <v>9.5615384615384613</v>
      </c>
      <c r="G9" s="25">
        <f t="shared" si="0"/>
        <v>15.82596153846154</v>
      </c>
      <c r="H9" s="25">
        <f t="shared" si="0"/>
        <v>9.1014423076923077</v>
      </c>
      <c r="I9" s="25">
        <f t="shared" si="0"/>
        <v>15.783173076923077</v>
      </c>
      <c r="J9" s="25">
        <f t="shared" si="0"/>
        <v>18.411538461538463</v>
      </c>
      <c r="K9" s="25">
        <f t="shared" si="0"/>
        <v>13.727884615384616</v>
      </c>
      <c r="L9" s="25">
        <f t="shared" si="0"/>
        <v>13.157692307692308</v>
      </c>
      <c r="M9" s="25">
        <f t="shared" si="0"/>
        <v>10.024038461538462</v>
      </c>
      <c r="N9" s="25">
        <f t="shared" si="0"/>
        <v>9.3004807692307701</v>
      </c>
      <c r="O9" s="25">
        <f t="shared" si="0"/>
        <v>18.345192307692308</v>
      </c>
    </row>
    <row r="10" spans="1:16" ht="8.25" customHeight="1"/>
    <row r="11" spans="1:16" ht="15.75" customHeight="1">
      <c r="A11" s="2" t="s">
        <v>21</v>
      </c>
    </row>
    <row r="12" spans="1:16">
      <c r="A12" t="s">
        <v>22</v>
      </c>
      <c r="B12" s="16">
        <v>9</v>
      </c>
      <c r="C12" s="16">
        <v>10</v>
      </c>
      <c r="D12" s="16">
        <v>10</v>
      </c>
      <c r="E12" s="16">
        <v>10</v>
      </c>
      <c r="F12" s="16">
        <v>7</v>
      </c>
      <c r="G12" s="16">
        <v>7</v>
      </c>
      <c r="H12" s="16">
        <v>7</v>
      </c>
      <c r="I12" s="16">
        <v>7</v>
      </c>
      <c r="J12" s="16">
        <v>7</v>
      </c>
      <c r="K12" s="16">
        <v>7</v>
      </c>
      <c r="L12" s="16">
        <v>7</v>
      </c>
      <c r="M12" s="16">
        <v>10</v>
      </c>
      <c r="N12" s="16">
        <v>8</v>
      </c>
      <c r="O12" s="16">
        <v>6</v>
      </c>
    </row>
    <row r="13" spans="1:16">
      <c r="A13" t="s">
        <v>23</v>
      </c>
      <c r="B13" s="16">
        <v>8</v>
      </c>
      <c r="C13" s="16">
        <v>9</v>
      </c>
      <c r="D13" s="16">
        <v>8</v>
      </c>
      <c r="E13" s="16">
        <v>6</v>
      </c>
      <c r="F13" s="16">
        <v>10</v>
      </c>
      <c r="G13" s="16">
        <v>10</v>
      </c>
      <c r="H13" s="16">
        <v>10</v>
      </c>
      <c r="I13" s="16">
        <v>7</v>
      </c>
      <c r="J13" s="16">
        <v>6</v>
      </c>
      <c r="K13" s="16">
        <v>10</v>
      </c>
      <c r="L13" s="16">
        <v>7</v>
      </c>
      <c r="M13" s="16">
        <v>8</v>
      </c>
      <c r="N13" s="16">
        <v>7</v>
      </c>
      <c r="O13" s="16">
        <v>9</v>
      </c>
    </row>
    <row r="14" spans="1:16">
      <c r="A14" t="s">
        <v>24</v>
      </c>
      <c r="B14" s="16">
        <v>10</v>
      </c>
      <c r="C14" s="16">
        <v>9</v>
      </c>
      <c r="D14" s="16">
        <v>8</v>
      </c>
      <c r="E14" s="16">
        <v>7</v>
      </c>
      <c r="F14" s="16">
        <v>9</v>
      </c>
      <c r="G14" s="16">
        <v>8</v>
      </c>
      <c r="H14" s="16">
        <v>6</v>
      </c>
      <c r="I14" s="16">
        <v>8</v>
      </c>
      <c r="J14" s="16">
        <v>7</v>
      </c>
      <c r="K14" s="16">
        <v>8</v>
      </c>
      <c r="L14" s="16">
        <v>8</v>
      </c>
      <c r="M14" s="16">
        <v>6</v>
      </c>
      <c r="N14" s="16">
        <v>6</v>
      </c>
      <c r="O14" s="16">
        <v>8</v>
      </c>
    </row>
    <row r="15" spans="1:16">
      <c r="A15" t="s">
        <v>25</v>
      </c>
      <c r="B15" s="16">
        <v>6</v>
      </c>
      <c r="C15" s="16">
        <v>8</v>
      </c>
      <c r="D15" s="16">
        <v>6</v>
      </c>
      <c r="E15" s="16">
        <v>10</v>
      </c>
      <c r="F15" s="16">
        <v>9</v>
      </c>
      <c r="G15" s="16">
        <v>7</v>
      </c>
      <c r="H15" s="16">
        <v>6</v>
      </c>
      <c r="I15" s="16">
        <v>6</v>
      </c>
      <c r="J15" s="16">
        <v>7</v>
      </c>
      <c r="K15" s="16">
        <v>8</v>
      </c>
      <c r="L15" s="16">
        <v>8</v>
      </c>
      <c r="M15" s="16">
        <v>6</v>
      </c>
      <c r="N15" s="16">
        <v>6</v>
      </c>
      <c r="O15" s="16">
        <v>9</v>
      </c>
    </row>
    <row r="16" spans="1:16">
      <c r="A16" t="s">
        <v>26</v>
      </c>
      <c r="B16" s="16">
        <v>10</v>
      </c>
      <c r="C16" s="16">
        <v>7</v>
      </c>
      <c r="D16" s="16">
        <v>10</v>
      </c>
      <c r="E16" s="16">
        <v>7</v>
      </c>
      <c r="F16" s="16">
        <v>9</v>
      </c>
      <c r="G16" s="16">
        <v>10</v>
      </c>
      <c r="H16" s="16">
        <v>9</v>
      </c>
      <c r="I16" s="16">
        <v>8</v>
      </c>
      <c r="J16" s="16">
        <v>8</v>
      </c>
      <c r="K16" s="16">
        <v>10</v>
      </c>
      <c r="L16" s="16">
        <v>8</v>
      </c>
      <c r="M16" s="16">
        <v>9</v>
      </c>
      <c r="N16" s="16">
        <v>10</v>
      </c>
      <c r="O16" s="16">
        <v>6</v>
      </c>
    </row>
    <row r="17" spans="1:18" ht="15.75" thickBot="1">
      <c r="A17" s="6" t="s">
        <v>27</v>
      </c>
      <c r="B17" s="6">
        <f>SUM(B12:B16)</f>
        <v>43</v>
      </c>
      <c r="C17" s="6">
        <f t="shared" ref="C17:O17" si="1">SUM(C12:C16)</f>
        <v>43</v>
      </c>
      <c r="D17" s="6">
        <f t="shared" si="1"/>
        <v>42</v>
      </c>
      <c r="E17" s="6">
        <f t="shared" si="1"/>
        <v>40</v>
      </c>
      <c r="F17" s="6">
        <f t="shared" si="1"/>
        <v>44</v>
      </c>
      <c r="G17" s="6">
        <f t="shared" si="1"/>
        <v>42</v>
      </c>
      <c r="H17" s="6">
        <f t="shared" si="1"/>
        <v>38</v>
      </c>
      <c r="I17" s="6">
        <f t="shared" si="1"/>
        <v>36</v>
      </c>
      <c r="J17" s="6">
        <f t="shared" si="1"/>
        <v>35</v>
      </c>
      <c r="K17" s="6">
        <f t="shared" si="1"/>
        <v>43</v>
      </c>
      <c r="L17" s="6">
        <f t="shared" si="1"/>
        <v>38</v>
      </c>
      <c r="M17" s="6">
        <f t="shared" si="1"/>
        <v>39</v>
      </c>
      <c r="N17" s="6">
        <f t="shared" si="1"/>
        <v>37</v>
      </c>
      <c r="O17" s="6">
        <f t="shared" si="1"/>
        <v>38</v>
      </c>
    </row>
    <row r="18" spans="1:18" ht="15.75" thickTop="1"/>
    <row r="19" spans="1:18">
      <c r="A19" t="s">
        <v>28</v>
      </c>
      <c r="B19" s="23">
        <f>B17*B9</f>
        <v>782.76538461538462</v>
      </c>
      <c r="C19" s="23">
        <f t="shared" ref="C19:O19" si="2">C17*C9</f>
        <v>540.55961538461543</v>
      </c>
      <c r="D19" s="23">
        <f t="shared" si="2"/>
        <v>531.96634615384619</v>
      </c>
      <c r="E19" s="23">
        <f t="shared" si="2"/>
        <v>453.11538461538464</v>
      </c>
      <c r="F19" s="23">
        <f t="shared" si="2"/>
        <v>420.7076923076923</v>
      </c>
      <c r="G19" s="23">
        <f t="shared" si="2"/>
        <v>664.69038461538469</v>
      </c>
      <c r="H19" s="23">
        <f t="shared" si="2"/>
        <v>345.8548076923077</v>
      </c>
      <c r="I19" s="23">
        <f t="shared" si="2"/>
        <v>568.19423076923078</v>
      </c>
      <c r="J19" s="23">
        <f t="shared" si="2"/>
        <v>644.40384615384619</v>
      </c>
      <c r="K19" s="23">
        <f t="shared" si="2"/>
        <v>590.29903846153843</v>
      </c>
      <c r="L19" s="23">
        <f t="shared" si="2"/>
        <v>499.99230769230769</v>
      </c>
      <c r="M19" s="23">
        <f t="shared" si="2"/>
        <v>390.9375</v>
      </c>
      <c r="N19" s="23">
        <f t="shared" si="2"/>
        <v>344.11778846153851</v>
      </c>
      <c r="O19" s="23">
        <f t="shared" si="2"/>
        <v>697.11730769230769</v>
      </c>
    </row>
    <row r="20" spans="1:18">
      <c r="A20" t="s">
        <v>3</v>
      </c>
      <c r="B20" s="23">
        <f>B19*$B$4</f>
        <v>250.48492307692308</v>
      </c>
      <c r="C20" s="23">
        <f t="shared" ref="C20:O20" si="3">C19*$B$4</f>
        <v>172.97907692307695</v>
      </c>
      <c r="D20" s="23">
        <f t="shared" si="3"/>
        <v>170.22923076923078</v>
      </c>
      <c r="E20" s="23">
        <f t="shared" si="3"/>
        <v>144.99692307692308</v>
      </c>
      <c r="F20" s="23">
        <f t="shared" si="3"/>
        <v>134.62646153846154</v>
      </c>
      <c r="G20" s="23">
        <f t="shared" si="3"/>
        <v>212.70092307692312</v>
      </c>
      <c r="H20" s="23">
        <f t="shared" si="3"/>
        <v>110.67353846153847</v>
      </c>
      <c r="I20" s="23">
        <f t="shared" si="3"/>
        <v>181.82215384615387</v>
      </c>
      <c r="J20" s="23">
        <f t="shared" si="3"/>
        <v>206.20923076923077</v>
      </c>
      <c r="K20" s="23">
        <f t="shared" si="3"/>
        <v>188.89569230769231</v>
      </c>
      <c r="L20" s="23">
        <f t="shared" si="3"/>
        <v>159.99753846153845</v>
      </c>
      <c r="M20" s="23">
        <f t="shared" si="3"/>
        <v>125.10000000000001</v>
      </c>
      <c r="N20" s="23">
        <f t="shared" si="3"/>
        <v>110.11769230769232</v>
      </c>
      <c r="O20" s="23">
        <f t="shared" si="3"/>
        <v>223.07753846153847</v>
      </c>
    </row>
    <row r="21" spans="1:18">
      <c r="A21" t="s">
        <v>4</v>
      </c>
      <c r="B21" s="23">
        <f>B19*$B$5</f>
        <v>62.62123076923077</v>
      </c>
      <c r="C21" s="23">
        <f t="shared" ref="C21:O21" si="4">C19*$B$5</f>
        <v>43.244769230769236</v>
      </c>
      <c r="D21" s="23">
        <f t="shared" si="4"/>
        <v>42.557307692307695</v>
      </c>
      <c r="E21" s="23">
        <f t="shared" si="4"/>
        <v>36.24923076923077</v>
      </c>
      <c r="F21" s="23">
        <f t="shared" si="4"/>
        <v>33.656615384615385</v>
      </c>
      <c r="G21" s="23">
        <f t="shared" si="4"/>
        <v>53.17523076923078</v>
      </c>
      <c r="H21" s="23">
        <f t="shared" si="4"/>
        <v>27.668384615384618</v>
      </c>
      <c r="I21" s="23">
        <f t="shared" si="4"/>
        <v>45.455538461538467</v>
      </c>
      <c r="J21" s="23">
        <f t="shared" si="4"/>
        <v>51.552307692307693</v>
      </c>
      <c r="K21" s="23">
        <f t="shared" si="4"/>
        <v>47.223923076923079</v>
      </c>
      <c r="L21" s="23">
        <f t="shared" si="4"/>
        <v>39.999384615384614</v>
      </c>
      <c r="M21" s="23">
        <f t="shared" si="4"/>
        <v>31.275000000000002</v>
      </c>
      <c r="N21" s="23">
        <f t="shared" si="4"/>
        <v>27.529423076923081</v>
      </c>
      <c r="O21" s="23">
        <f t="shared" si="4"/>
        <v>55.769384615384617</v>
      </c>
    </row>
    <row r="22" spans="1:18">
      <c r="A22" t="s">
        <v>5</v>
      </c>
      <c r="B22" s="23">
        <f>B19*$B$6</f>
        <v>39.138269230769232</v>
      </c>
      <c r="C22" s="23">
        <f t="shared" ref="C22:O22" si="5">C19*$B$6</f>
        <v>27.027980769230773</v>
      </c>
      <c r="D22" s="23">
        <f t="shared" si="5"/>
        <v>26.598317307692312</v>
      </c>
      <c r="E22" s="23">
        <f t="shared" si="5"/>
        <v>22.655769230769234</v>
      </c>
      <c r="F22" s="23">
        <f t="shared" si="5"/>
        <v>21.035384615384615</v>
      </c>
      <c r="G22" s="23">
        <f t="shared" si="5"/>
        <v>33.234519230769237</v>
      </c>
      <c r="H22" s="23">
        <f t="shared" si="5"/>
        <v>17.292740384615385</v>
      </c>
      <c r="I22" s="23">
        <f t="shared" si="5"/>
        <v>28.40971153846154</v>
      </c>
      <c r="J22" s="23">
        <f t="shared" si="5"/>
        <v>32.220192307692308</v>
      </c>
      <c r="K22" s="23">
        <f t="shared" si="5"/>
        <v>29.514951923076922</v>
      </c>
      <c r="L22" s="23">
        <f t="shared" si="5"/>
        <v>24.999615384615385</v>
      </c>
      <c r="M22" s="23">
        <f t="shared" si="5"/>
        <v>19.546875</v>
      </c>
      <c r="N22" s="23">
        <f t="shared" si="5"/>
        <v>17.205889423076925</v>
      </c>
      <c r="O22" s="23">
        <f t="shared" si="5"/>
        <v>34.855865384615385</v>
      </c>
    </row>
    <row r="23" spans="1:18" ht="15.75" thickBot="1">
      <c r="A23" s="6" t="s">
        <v>29</v>
      </c>
      <c r="B23" s="24">
        <f>B19-B20-B21-B22</f>
        <v>430.52096153846151</v>
      </c>
      <c r="C23" s="24">
        <f t="shared" ref="C23:O23" si="6">C19-C20-C21-C22</f>
        <v>297.30778846153845</v>
      </c>
      <c r="D23" s="24">
        <f t="shared" si="6"/>
        <v>292.58149038461545</v>
      </c>
      <c r="E23" s="24">
        <f t="shared" si="6"/>
        <v>249.21346153846156</v>
      </c>
      <c r="F23" s="24">
        <f t="shared" si="6"/>
        <v>231.38923076923072</v>
      </c>
      <c r="G23" s="24">
        <f t="shared" si="6"/>
        <v>365.57971153846154</v>
      </c>
      <c r="H23" s="24">
        <f t="shared" si="6"/>
        <v>190.22014423076922</v>
      </c>
      <c r="I23" s="24">
        <f t="shared" si="6"/>
        <v>312.50682692307691</v>
      </c>
      <c r="J23" s="24">
        <f t="shared" si="6"/>
        <v>354.42211538461544</v>
      </c>
      <c r="K23" s="24">
        <f t="shared" si="6"/>
        <v>324.66447115384608</v>
      </c>
      <c r="L23" s="24">
        <f t="shared" si="6"/>
        <v>274.99576923076927</v>
      </c>
      <c r="M23" s="24">
        <f t="shared" si="6"/>
        <v>215.01562499999997</v>
      </c>
      <c r="N23" s="24">
        <f t="shared" si="6"/>
        <v>189.26478365384617</v>
      </c>
      <c r="O23" s="24">
        <f t="shared" si="6"/>
        <v>383.4145192307692</v>
      </c>
      <c r="P23" s="18"/>
      <c r="Q23" s="18"/>
      <c r="R23" s="18"/>
    </row>
    <row r="24" spans="1:18" ht="15.75" thickTop="1">
      <c r="B24" s="10"/>
      <c r="O24" s="18"/>
    </row>
    <row r="25" spans="1:18">
      <c r="A25" s="11"/>
      <c r="B25" s="12"/>
    </row>
    <row r="26" spans="1:18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</sheetData>
  <sheetProtection pivotTables="0"/>
  <protectedRanges>
    <protectedRange sqref="B12:O16" name="Range1"/>
  </protectedRanges>
  <hyperlinks>
    <hyperlink ref="E3" r:id="rId1" xr:uid="{D57AC0EB-A5F8-48AC-8943-41B5010E34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2"/>
  <sheetViews>
    <sheetView tabSelected="1" workbookViewId="0"/>
  </sheetViews>
  <sheetFormatPr defaultRowHeight="15"/>
  <cols>
    <col min="1" max="1" width="36.7109375" bestFit="1" customWidth="1"/>
    <col min="2" max="2" width="13" bestFit="1" customWidth="1"/>
    <col min="3" max="3" width="12" bestFit="1" customWidth="1"/>
    <col min="4" max="4" width="13.7109375" bestFit="1" customWidth="1"/>
    <col min="5" max="5" width="12.85546875" bestFit="1" customWidth="1"/>
    <col min="6" max="9" width="13" bestFit="1" customWidth="1"/>
    <col min="10" max="10" width="17" bestFit="1" customWidth="1"/>
    <col min="11" max="11" width="8.42578125" bestFit="1" customWidth="1"/>
  </cols>
  <sheetData>
    <row r="1" spans="1:10" ht="23.25">
      <c r="A1" s="1" t="s">
        <v>30</v>
      </c>
      <c r="E1" s="17"/>
    </row>
    <row r="2" spans="1:10">
      <c r="E2" s="17"/>
    </row>
    <row r="3" spans="1:10" ht="17.25">
      <c r="A3" s="4" t="s">
        <v>31</v>
      </c>
      <c r="B3" s="4" t="s">
        <v>32</v>
      </c>
      <c r="C3" s="4" t="s">
        <v>33</v>
      </c>
      <c r="D3" s="4" t="s">
        <v>34</v>
      </c>
    </row>
    <row r="4" spans="1:10">
      <c r="A4" t="s">
        <v>6</v>
      </c>
      <c r="B4" t="s">
        <v>35</v>
      </c>
      <c r="C4" s="26">
        <v>37864</v>
      </c>
      <c r="D4" t="s">
        <v>36</v>
      </c>
      <c r="F4" s="20"/>
      <c r="G4" s="20"/>
      <c r="H4" s="20"/>
    </row>
    <row r="5" spans="1:10">
      <c r="A5" t="s">
        <v>7</v>
      </c>
      <c r="B5" t="s">
        <v>35</v>
      </c>
      <c r="C5" s="26">
        <v>26148</v>
      </c>
      <c r="D5" t="s">
        <v>37</v>
      </c>
      <c r="F5" s="20"/>
      <c r="G5" s="20"/>
      <c r="H5" s="20"/>
    </row>
    <row r="6" spans="1:10">
      <c r="A6" t="s">
        <v>8</v>
      </c>
      <c r="B6" t="s">
        <v>38</v>
      </c>
      <c r="C6" s="26">
        <v>26345</v>
      </c>
      <c r="D6" t="s">
        <v>39</v>
      </c>
      <c r="F6" s="20"/>
      <c r="G6" s="20"/>
      <c r="H6" s="20"/>
    </row>
    <row r="7" spans="1:10">
      <c r="A7" t="s">
        <v>9</v>
      </c>
      <c r="B7" t="s">
        <v>38</v>
      </c>
      <c r="C7" s="26">
        <v>23562</v>
      </c>
      <c r="D7" t="s">
        <v>36</v>
      </c>
    </row>
    <row r="8" spans="1:10">
      <c r="A8" t="s">
        <v>10</v>
      </c>
      <c r="B8" t="s">
        <v>35</v>
      </c>
      <c r="C8" s="26">
        <v>19888</v>
      </c>
      <c r="D8" t="s">
        <v>39</v>
      </c>
    </row>
    <row r="9" spans="1:10">
      <c r="A9" t="s">
        <v>11</v>
      </c>
      <c r="B9" t="s">
        <v>35</v>
      </c>
      <c r="C9" s="26">
        <v>32918</v>
      </c>
      <c r="D9" t="s">
        <v>37</v>
      </c>
      <c r="J9" s="19"/>
    </row>
    <row r="10" spans="1:10">
      <c r="A10" t="s">
        <v>12</v>
      </c>
      <c r="B10" t="s">
        <v>35</v>
      </c>
      <c r="C10" s="26">
        <v>18931</v>
      </c>
      <c r="D10" t="s">
        <v>36</v>
      </c>
      <c r="J10" s="19"/>
    </row>
    <row r="11" spans="1:10">
      <c r="A11" t="s">
        <v>13</v>
      </c>
      <c r="B11" t="s">
        <v>35</v>
      </c>
      <c r="C11" s="26">
        <v>32829</v>
      </c>
      <c r="D11" t="s">
        <v>36</v>
      </c>
      <c r="J11" s="21"/>
    </row>
    <row r="12" spans="1:10">
      <c r="A12" t="s">
        <v>14</v>
      </c>
      <c r="B12" t="s">
        <v>35</v>
      </c>
      <c r="C12" s="26">
        <v>38296</v>
      </c>
      <c r="D12" t="s">
        <v>37</v>
      </c>
    </row>
    <row r="13" spans="1:10">
      <c r="A13" t="s">
        <v>15</v>
      </c>
      <c r="B13" t="s">
        <v>38</v>
      </c>
      <c r="C13" s="26">
        <v>28554</v>
      </c>
      <c r="D13" t="s">
        <v>36</v>
      </c>
      <c r="J13" s="22"/>
    </row>
    <row r="14" spans="1:10">
      <c r="A14" t="s">
        <v>16</v>
      </c>
      <c r="B14" t="s">
        <v>35</v>
      </c>
      <c r="C14" s="26">
        <v>27368</v>
      </c>
      <c r="D14" t="s">
        <v>39</v>
      </c>
      <c r="J14" s="19"/>
    </row>
    <row r="15" spans="1:10">
      <c r="A15" t="s">
        <v>17</v>
      </c>
      <c r="B15" t="s">
        <v>38</v>
      </c>
      <c r="C15" s="26">
        <v>20850</v>
      </c>
      <c r="D15" t="s">
        <v>37</v>
      </c>
    </row>
    <row r="16" spans="1:10">
      <c r="A16" t="s">
        <v>18</v>
      </c>
      <c r="B16" t="s">
        <v>35</v>
      </c>
      <c r="C16" s="26">
        <v>19345</v>
      </c>
      <c r="D16" t="s">
        <v>37</v>
      </c>
    </row>
    <row r="17" spans="1:9">
      <c r="A17" t="s">
        <v>19</v>
      </c>
      <c r="B17" t="s">
        <v>38</v>
      </c>
      <c r="C17" s="26">
        <v>38158</v>
      </c>
      <c r="D17" t="s">
        <v>36</v>
      </c>
    </row>
    <row r="18" spans="1:9">
      <c r="A18" s="6" t="s">
        <v>27</v>
      </c>
      <c r="B18" s="6"/>
      <c r="C18" s="27"/>
      <c r="D18" s="6"/>
    </row>
    <row r="20" spans="1:9">
      <c r="A20" s="3" t="s">
        <v>34</v>
      </c>
      <c r="B20" s="3" t="s">
        <v>33</v>
      </c>
      <c r="C20" s="3" t="s">
        <v>40</v>
      </c>
      <c r="E20" s="3" t="s">
        <v>34</v>
      </c>
      <c r="F20" t="s">
        <v>36</v>
      </c>
      <c r="G20" t="s">
        <v>37</v>
      </c>
      <c r="H20" t="s">
        <v>39</v>
      </c>
      <c r="I20" s="6" t="s">
        <v>41</v>
      </c>
    </row>
    <row r="21" spans="1:9">
      <c r="A21" t="s">
        <v>36</v>
      </c>
      <c r="B21" s="25">
        <f>SUMIF($D$4:$D$17,A21,$C$4:$C$17)</f>
        <v>179898</v>
      </c>
      <c r="C21">
        <f>COUNTIF($D$4:$D$17,A21)</f>
        <v>6</v>
      </c>
      <c r="E21" s="3" t="s">
        <v>33</v>
      </c>
      <c r="F21" s="25">
        <f>SUMIF($D$4:$D$17,F20,$C$4:$C$17)</f>
        <v>179898</v>
      </c>
      <c r="G21" s="25">
        <f>SUMIF($D$4:$D$17,G20,$C$4:$C$17)</f>
        <v>137557</v>
      </c>
      <c r="H21" s="25">
        <f>SUMIF($D$4:$D$17,H20,$C$4:$C$17)</f>
        <v>73601</v>
      </c>
      <c r="I21" s="28">
        <f>SUM(F21:H21)</f>
        <v>391056</v>
      </c>
    </row>
    <row r="22" spans="1:9">
      <c r="A22" t="s">
        <v>37</v>
      </c>
      <c r="B22" s="25">
        <f t="shared" ref="B22:B23" si="0">SUMIF($D$4:$D$17,A22,$C$4:$C$17)</f>
        <v>137557</v>
      </c>
      <c r="C22">
        <f t="shared" ref="C22:C23" si="1">COUNTIF($D$4:$D$17,A22)</f>
        <v>5</v>
      </c>
      <c r="E22" s="3" t="s">
        <v>40</v>
      </c>
      <c r="F22">
        <f>COUNTIF($D$4:$D$17,F20)</f>
        <v>6</v>
      </c>
      <c r="G22">
        <f>COUNTIF($D$4:$D$17,G20)</f>
        <v>5</v>
      </c>
      <c r="H22">
        <f>COUNTIF($D$4:$D$17,H20)</f>
        <v>3</v>
      </c>
      <c r="I22" s="7">
        <f>SUM(F22:H22)</f>
        <v>14</v>
      </c>
    </row>
    <row r="23" spans="1:9">
      <c r="A23" t="s">
        <v>39</v>
      </c>
      <c r="B23" s="25">
        <f t="shared" si="0"/>
        <v>73601</v>
      </c>
      <c r="C23">
        <f t="shared" si="1"/>
        <v>3</v>
      </c>
    </row>
    <row r="24" spans="1:9">
      <c r="A24" s="6" t="s">
        <v>41</v>
      </c>
      <c r="B24" s="28">
        <f>SUM(B21:B23)</f>
        <v>391056</v>
      </c>
      <c r="C24" s="7">
        <f>SUM(C21:C23)</f>
        <v>14</v>
      </c>
      <c r="E24" t="str" cm="1">
        <f t="array" ref="E24:E26">TRANSPOSE(A20:C20)</f>
        <v>Department</v>
      </c>
    </row>
    <row r="25" spans="1:9">
      <c r="E25" t="str">
        <v>Salary</v>
      </c>
    </row>
    <row r="26" spans="1:9">
      <c r="A26" s="3" t="s">
        <v>32</v>
      </c>
      <c r="B26" s="3" t="s">
        <v>33</v>
      </c>
      <c r="C26" s="3" t="s">
        <v>40</v>
      </c>
      <c r="E26" s="3" t="str">
        <v>Headcount</v>
      </c>
      <c r="F26" s="25"/>
    </row>
    <row r="27" spans="1:9">
      <c r="A27" t="s">
        <v>35</v>
      </c>
      <c r="B27" s="25">
        <f>SUMIF($B$4:$B$17,A27,$C$4:$C$17)</f>
        <v>253587</v>
      </c>
      <c r="C27">
        <f>COUNTIF($B$4:$B$17,$A$27)</f>
        <v>9</v>
      </c>
    </row>
    <row r="28" spans="1:9">
      <c r="A28" t="s">
        <v>38</v>
      </c>
      <c r="B28" s="25">
        <f>SUMIF($B$4:$B$17,A28,$C$4:$C$17)</f>
        <v>137469</v>
      </c>
      <c r="C28">
        <f>COUNTIF($B$5:$B$17,$A$28)</f>
        <v>5</v>
      </c>
    </row>
    <row r="29" spans="1:9">
      <c r="A29" s="6" t="s">
        <v>41</v>
      </c>
      <c r="B29" s="28">
        <f>SUM(B27:B28)</f>
        <v>391056</v>
      </c>
      <c r="C29" s="7">
        <f>SUM(C27:C28)</f>
        <v>14</v>
      </c>
    </row>
    <row r="31" spans="1:9">
      <c r="A31" s="29"/>
      <c r="B31" s="29"/>
      <c r="C31" s="29"/>
      <c r="D31" s="29"/>
      <c r="E31" s="29"/>
      <c r="F31" s="29"/>
      <c r="G31" s="29"/>
      <c r="H31" s="29"/>
    </row>
    <row r="32" spans="1:9">
      <c r="A32" s="29"/>
      <c r="B32" s="29"/>
      <c r="C32" s="29"/>
      <c r="D32" s="29"/>
      <c r="E32" s="29"/>
      <c r="F32" s="29"/>
      <c r="G32" s="29"/>
      <c r="H32" s="29"/>
    </row>
    <row r="33" spans="1:8">
      <c r="B33" s="29"/>
      <c r="C33" s="29"/>
      <c r="D33" s="29"/>
      <c r="E33" s="29"/>
      <c r="F33" s="29"/>
      <c r="G33" s="29"/>
      <c r="H33" s="29"/>
    </row>
    <row r="34" spans="1:8">
      <c r="B34" s="29"/>
      <c r="C34" s="29"/>
      <c r="D34" s="29"/>
      <c r="E34" s="29"/>
      <c r="F34" s="29"/>
      <c r="G34" s="29"/>
      <c r="H34" s="29"/>
    </row>
    <row r="35" spans="1:8">
      <c r="B35" s="29"/>
      <c r="C35" s="29"/>
      <c r="D35" s="29"/>
      <c r="E35" s="29"/>
      <c r="F35" s="29"/>
      <c r="G35" s="29"/>
      <c r="H35" s="29"/>
    </row>
    <row r="36" spans="1:8">
      <c r="B36" s="29"/>
      <c r="C36" s="29"/>
      <c r="D36" s="29"/>
      <c r="E36" s="29"/>
      <c r="F36" s="29"/>
      <c r="G36" s="29"/>
      <c r="H36" s="29"/>
    </row>
    <row r="37" spans="1:8">
      <c r="B37" s="29"/>
      <c r="C37" s="29"/>
      <c r="D37" s="29"/>
      <c r="E37" s="29"/>
      <c r="F37" s="29"/>
      <c r="G37" s="29"/>
      <c r="H37" s="29"/>
    </row>
    <row r="38" spans="1:8">
      <c r="B38" s="29"/>
      <c r="C38" s="29"/>
      <c r="D38" s="29"/>
      <c r="E38" s="29"/>
      <c r="F38" s="29"/>
      <c r="G38" s="29"/>
      <c r="H38" s="29"/>
    </row>
    <row r="39" spans="1:8">
      <c r="B39" s="29"/>
      <c r="C39" s="29"/>
      <c r="D39" s="29"/>
      <c r="E39" s="29"/>
      <c r="F39" s="29"/>
      <c r="G39" s="29"/>
      <c r="H39" s="29"/>
    </row>
    <row r="40" spans="1:8">
      <c r="B40" s="29"/>
      <c r="C40" s="29"/>
      <c r="D40" s="29"/>
      <c r="E40" s="29"/>
      <c r="F40" s="29"/>
      <c r="G40" s="29"/>
      <c r="H40" s="29"/>
    </row>
    <row r="41" spans="1:8">
      <c r="B41" s="29"/>
      <c r="C41" s="29"/>
      <c r="D41" s="29"/>
      <c r="E41" s="29"/>
      <c r="F41" s="29"/>
      <c r="G41" s="29"/>
      <c r="H41" s="29"/>
    </row>
    <row r="42" spans="1:8">
      <c r="B42" s="29"/>
      <c r="C42" s="29"/>
      <c r="D42" s="29"/>
      <c r="E42" s="29"/>
      <c r="F42" s="29"/>
      <c r="G42" s="29"/>
      <c r="H42" s="29"/>
    </row>
    <row r="43" spans="1:8">
      <c r="B43" s="29"/>
      <c r="C43" s="29"/>
      <c r="D43" s="29"/>
      <c r="E43" s="29"/>
      <c r="F43" s="29"/>
      <c r="G43" s="29"/>
      <c r="H43" s="29"/>
    </row>
    <row r="44" spans="1:8">
      <c r="A44" s="29"/>
      <c r="B44" s="29"/>
      <c r="C44" s="29"/>
      <c r="D44" s="29"/>
      <c r="E44" s="29"/>
      <c r="F44" s="29"/>
      <c r="G44" s="29"/>
      <c r="H44" s="29"/>
    </row>
    <row r="45" spans="1:8">
      <c r="A45" s="29"/>
      <c r="B45" s="29"/>
      <c r="C45" s="29"/>
      <c r="D45" s="29"/>
      <c r="E45" s="29"/>
      <c r="F45" s="29"/>
      <c r="G45" s="29"/>
      <c r="H45" s="29"/>
    </row>
    <row r="46" spans="1:8">
      <c r="A46" s="29"/>
      <c r="B46" s="29"/>
      <c r="C46" s="29"/>
      <c r="D46" s="29"/>
      <c r="E46" s="29"/>
      <c r="F46" s="29"/>
      <c r="G46" s="29"/>
      <c r="H46" s="29"/>
    </row>
    <row r="47" spans="1:8">
      <c r="C47" s="29"/>
    </row>
    <row r="48" spans="1:8">
      <c r="C48" s="29"/>
    </row>
    <row r="49" spans="3:3">
      <c r="C49" s="29"/>
    </row>
    <row r="50" spans="3:3">
      <c r="C50" s="29"/>
    </row>
    <row r="51" spans="3:3">
      <c r="C51" s="29"/>
    </row>
    <row r="52" spans="3:3">
      <c r="C52" s="29"/>
    </row>
  </sheetData>
  <dataValidations count="3">
    <dataValidation type="whole" allowBlank="1" showInputMessage="1" showErrorMessage="1" error="Enter an integer" prompt="Enter between 1-100000" sqref="G10:G19" xr:uid="{2816E357-1154-4530-958D-821BA6D1DA63}">
      <formula1>1</formula1>
      <formula2>100000</formula2>
    </dataValidation>
    <dataValidation type="list" allowBlank="1" showInputMessage="1" showErrorMessage="1" sqref="H10:H19" xr:uid="{B6F972AE-10F7-4D1C-82FA-F2D3CF253F36}">
      <formula1>"Eligible, Not Eligible"</formula1>
    </dataValidation>
    <dataValidation type="list" errorStyle="warning" allowBlank="1" showInputMessage="1" showErrorMessage="1" error="Choose correct department" prompt="Please choose department" sqref="D4:D17" xr:uid="{7682314D-7129-47ED-87F4-D6A1245B0645}">
      <formula1>"Sales, Logistics, Purchasing"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FB765-3824-4308-997C-6A8768F2A514}">
  <dimension ref="A1:E76"/>
  <sheetViews>
    <sheetView workbookViewId="0">
      <selection sqref="A1:E76"/>
    </sheetView>
  </sheetViews>
  <sheetFormatPr defaultRowHeight="15"/>
  <cols>
    <col min="1" max="1" width="7.42578125" bestFit="1" customWidth="1"/>
    <col min="2" max="2" width="12.28515625" bestFit="1" customWidth="1"/>
    <col min="3" max="3" width="15.7109375" bestFit="1" customWidth="1"/>
  </cols>
  <sheetData>
    <row r="1" spans="1:5">
      <c r="A1" s="29" t="s">
        <v>42</v>
      </c>
      <c r="B1" s="29" t="s">
        <v>43</v>
      </c>
      <c r="C1" s="29" t="s">
        <v>44</v>
      </c>
      <c r="D1" s="29" t="s">
        <v>36</v>
      </c>
      <c r="E1" s="29" t="s">
        <v>45</v>
      </c>
    </row>
    <row r="2" spans="1:5">
      <c r="A2" s="29">
        <v>2017</v>
      </c>
      <c r="B2" s="29" t="s">
        <v>46</v>
      </c>
      <c r="C2" s="29" t="s">
        <v>47</v>
      </c>
      <c r="D2" s="30">
        <v>20000</v>
      </c>
      <c r="E2" s="31">
        <v>0.75</v>
      </c>
    </row>
    <row r="3" spans="1:5">
      <c r="A3" s="29">
        <v>2015</v>
      </c>
      <c r="B3" s="29" t="s">
        <v>48</v>
      </c>
      <c r="C3" s="29" t="s">
        <v>49</v>
      </c>
      <c r="D3" s="30">
        <v>3700</v>
      </c>
      <c r="E3" s="31">
        <v>0.22</v>
      </c>
    </row>
    <row r="4" spans="1:5">
      <c r="A4" s="29">
        <v>2017</v>
      </c>
      <c r="B4" s="29" t="s">
        <v>48</v>
      </c>
      <c r="C4" s="29" t="s">
        <v>50</v>
      </c>
      <c r="D4" s="30">
        <v>4000</v>
      </c>
      <c r="E4" s="31">
        <v>0.22</v>
      </c>
    </row>
    <row r="5" spans="1:5">
      <c r="A5" s="29">
        <v>2015</v>
      </c>
      <c r="B5" s="29" t="s">
        <v>48</v>
      </c>
      <c r="C5" s="29" t="s">
        <v>51</v>
      </c>
      <c r="D5" s="30">
        <v>13300</v>
      </c>
      <c r="E5" s="31">
        <v>0.56000000000000005</v>
      </c>
    </row>
    <row r="6" spans="1:5">
      <c r="A6" s="29">
        <v>2017</v>
      </c>
      <c r="B6" s="29" t="s">
        <v>48</v>
      </c>
      <c r="C6" s="29" t="s">
        <v>52</v>
      </c>
      <c r="D6" s="30">
        <v>36000</v>
      </c>
      <c r="E6" s="31">
        <v>1</v>
      </c>
    </row>
    <row r="7" spans="1:5">
      <c r="A7" s="29">
        <v>2015</v>
      </c>
      <c r="B7" s="29" t="s">
        <v>46</v>
      </c>
      <c r="C7" s="29" t="s">
        <v>53</v>
      </c>
      <c r="D7" s="30">
        <v>2300</v>
      </c>
      <c r="E7" s="31">
        <v>0.35</v>
      </c>
    </row>
    <row r="8" spans="1:5">
      <c r="A8" s="29">
        <v>2016</v>
      </c>
      <c r="B8" s="29" t="s">
        <v>48</v>
      </c>
      <c r="C8" s="29" t="s">
        <v>49</v>
      </c>
      <c r="D8" s="30">
        <v>2300</v>
      </c>
      <c r="E8" s="31">
        <v>0.28000000000000003</v>
      </c>
    </row>
    <row r="9" spans="1:5">
      <c r="A9" s="29">
        <v>2016</v>
      </c>
      <c r="B9" s="29" t="s">
        <v>46</v>
      </c>
      <c r="C9" s="29" t="s">
        <v>54</v>
      </c>
      <c r="D9" s="30">
        <v>3400</v>
      </c>
      <c r="E9" s="31">
        <v>0.36</v>
      </c>
    </row>
    <row r="10" spans="1:5">
      <c r="A10" s="29">
        <v>2016</v>
      </c>
      <c r="B10" s="29" t="s">
        <v>55</v>
      </c>
      <c r="C10" s="29" t="s">
        <v>56</v>
      </c>
      <c r="D10" s="30">
        <v>6300</v>
      </c>
      <c r="E10" s="31">
        <v>0.4</v>
      </c>
    </row>
    <row r="11" spans="1:5">
      <c r="A11" s="29">
        <v>2017</v>
      </c>
      <c r="B11" s="29" t="s">
        <v>46</v>
      </c>
      <c r="C11" s="29" t="s">
        <v>54</v>
      </c>
      <c r="D11" s="30">
        <v>5400</v>
      </c>
      <c r="E11" s="31">
        <v>0.38</v>
      </c>
    </row>
    <row r="12" spans="1:5">
      <c r="A12" s="29">
        <v>2016</v>
      </c>
      <c r="B12" s="29" t="s">
        <v>57</v>
      </c>
      <c r="C12" s="29" t="s">
        <v>58</v>
      </c>
      <c r="D12" s="30">
        <v>17000</v>
      </c>
      <c r="E12" s="31">
        <v>0.9</v>
      </c>
    </row>
    <row r="13" spans="1:5">
      <c r="A13" s="29">
        <v>2016</v>
      </c>
      <c r="B13" s="29" t="s">
        <v>57</v>
      </c>
      <c r="C13" s="29" t="s">
        <v>59</v>
      </c>
      <c r="D13" s="30">
        <v>21600</v>
      </c>
      <c r="E13" s="31">
        <v>0.9</v>
      </c>
    </row>
    <row r="14" spans="1:5">
      <c r="A14" s="29">
        <v>2016</v>
      </c>
      <c r="B14" s="29" t="s">
        <v>57</v>
      </c>
      <c r="C14" s="29" t="s">
        <v>60</v>
      </c>
      <c r="D14" s="30">
        <v>29800</v>
      </c>
      <c r="E14" s="31">
        <v>0.9</v>
      </c>
    </row>
    <row r="15" spans="1:5">
      <c r="A15" s="29">
        <v>2016</v>
      </c>
      <c r="B15" s="29" t="s">
        <v>46</v>
      </c>
      <c r="C15" s="29" t="s">
        <v>61</v>
      </c>
      <c r="D15" s="30">
        <v>1000</v>
      </c>
      <c r="E15" s="31">
        <v>0.23</v>
      </c>
    </row>
    <row r="16" spans="1:5">
      <c r="A16" s="29">
        <v>2015</v>
      </c>
      <c r="B16" s="29" t="s">
        <v>48</v>
      </c>
      <c r="C16" s="29" t="s">
        <v>62</v>
      </c>
      <c r="D16" s="30">
        <v>6700</v>
      </c>
      <c r="E16" s="31">
        <v>0.05</v>
      </c>
    </row>
    <row r="17" spans="1:5">
      <c r="A17" s="29">
        <v>2017</v>
      </c>
      <c r="B17" s="29" t="s">
        <v>46</v>
      </c>
      <c r="C17" s="29" t="s">
        <v>61</v>
      </c>
      <c r="D17" s="30">
        <v>600</v>
      </c>
      <c r="E17" s="31">
        <v>0.27</v>
      </c>
    </row>
    <row r="18" spans="1:5">
      <c r="A18" s="29">
        <v>2015</v>
      </c>
      <c r="B18" s="29" t="s">
        <v>55</v>
      </c>
      <c r="C18" s="29" t="s">
        <v>63</v>
      </c>
      <c r="D18" s="30">
        <v>3500</v>
      </c>
      <c r="E18" s="31">
        <v>0.5</v>
      </c>
    </row>
    <row r="19" spans="1:5">
      <c r="A19" s="29">
        <v>2017</v>
      </c>
      <c r="B19" s="29" t="s">
        <v>48</v>
      </c>
      <c r="C19" s="29" t="s">
        <v>62</v>
      </c>
      <c r="D19" s="30">
        <v>7500</v>
      </c>
      <c r="E19" s="31">
        <v>0.4</v>
      </c>
    </row>
    <row r="20" spans="1:5">
      <c r="A20" s="29">
        <v>2017</v>
      </c>
      <c r="B20" s="29" t="s">
        <v>57</v>
      </c>
      <c r="C20" s="29" t="s">
        <v>64</v>
      </c>
      <c r="D20" s="30">
        <v>63700</v>
      </c>
      <c r="E20" s="31">
        <v>0.9</v>
      </c>
    </row>
    <row r="21" spans="1:5">
      <c r="A21" s="29">
        <v>2017</v>
      </c>
      <c r="B21" s="29" t="s">
        <v>55</v>
      </c>
      <c r="C21" s="29" t="s">
        <v>65</v>
      </c>
      <c r="D21" s="30">
        <v>9300</v>
      </c>
      <c r="E21" s="31">
        <v>0.6</v>
      </c>
    </row>
    <row r="22" spans="1:5">
      <c r="A22" s="29">
        <v>2017</v>
      </c>
      <c r="B22" s="29" t="s">
        <v>55</v>
      </c>
      <c r="C22" s="29" t="s">
        <v>56</v>
      </c>
      <c r="D22" s="30">
        <v>8500</v>
      </c>
      <c r="E22" s="31">
        <v>0.46</v>
      </c>
    </row>
    <row r="23" spans="1:5">
      <c r="A23" s="29">
        <v>2017</v>
      </c>
      <c r="B23" s="29" t="s">
        <v>57</v>
      </c>
      <c r="C23" s="29" t="s">
        <v>66</v>
      </c>
      <c r="D23" s="30">
        <v>33700</v>
      </c>
      <c r="E23" s="31">
        <v>0.92</v>
      </c>
    </row>
    <row r="24" spans="1:5">
      <c r="A24" s="29">
        <v>2017</v>
      </c>
      <c r="B24" s="29" t="s">
        <v>48</v>
      </c>
      <c r="C24" s="29" t="s">
        <v>67</v>
      </c>
      <c r="D24" s="30">
        <v>600</v>
      </c>
      <c r="E24" s="31">
        <v>0.15</v>
      </c>
    </row>
    <row r="25" spans="1:5">
      <c r="A25" s="29">
        <v>2015</v>
      </c>
      <c r="B25" s="29" t="s">
        <v>55</v>
      </c>
      <c r="C25" s="29" t="s">
        <v>56</v>
      </c>
      <c r="D25" s="30">
        <v>3100</v>
      </c>
      <c r="E25" s="31">
        <v>0.35</v>
      </c>
    </row>
    <row r="26" spans="1:5">
      <c r="A26" s="29">
        <v>2017</v>
      </c>
      <c r="B26" s="29" t="s">
        <v>57</v>
      </c>
      <c r="C26" s="29" t="s">
        <v>68</v>
      </c>
      <c r="D26" s="30">
        <v>30700</v>
      </c>
      <c r="E26" s="31">
        <v>0.95</v>
      </c>
    </row>
    <row r="27" spans="1:5">
      <c r="A27" s="29">
        <v>2016</v>
      </c>
      <c r="B27" s="29" t="s">
        <v>57</v>
      </c>
      <c r="C27" s="29" t="s">
        <v>68</v>
      </c>
      <c r="D27" s="30">
        <v>16400</v>
      </c>
      <c r="E27" s="31">
        <v>0.8</v>
      </c>
    </row>
    <row r="28" spans="1:5">
      <c r="A28" s="29">
        <v>2016</v>
      </c>
      <c r="B28" s="29" t="s">
        <v>57</v>
      </c>
      <c r="C28" s="29" t="s">
        <v>66</v>
      </c>
      <c r="D28" s="30">
        <v>22100</v>
      </c>
      <c r="E28" s="31">
        <v>0.9</v>
      </c>
    </row>
    <row r="29" spans="1:5">
      <c r="A29" s="29">
        <v>2017</v>
      </c>
      <c r="B29" s="29" t="s">
        <v>57</v>
      </c>
      <c r="C29" s="29" t="s">
        <v>58</v>
      </c>
      <c r="D29" s="30">
        <v>34000</v>
      </c>
      <c r="E29" s="31">
        <v>0.95</v>
      </c>
    </row>
    <row r="30" spans="1:5">
      <c r="A30" s="29">
        <v>2015</v>
      </c>
      <c r="B30" s="29" t="s">
        <v>57</v>
      </c>
      <c r="C30" s="29" t="s">
        <v>68</v>
      </c>
      <c r="D30" s="30">
        <v>700</v>
      </c>
      <c r="E30" s="31">
        <v>0.1</v>
      </c>
    </row>
    <row r="31" spans="1:5">
      <c r="A31" s="29">
        <v>2015</v>
      </c>
      <c r="B31" s="29" t="s">
        <v>48</v>
      </c>
      <c r="C31" s="29" t="s">
        <v>52</v>
      </c>
      <c r="D31" s="30">
        <v>3300</v>
      </c>
      <c r="E31" s="31">
        <v>0.3</v>
      </c>
    </row>
    <row r="32" spans="1:5">
      <c r="A32" s="29">
        <v>2017</v>
      </c>
      <c r="B32" s="29" t="s">
        <v>55</v>
      </c>
      <c r="C32" s="29" t="s">
        <v>63</v>
      </c>
      <c r="D32" s="30">
        <v>16900</v>
      </c>
      <c r="E32" s="31">
        <v>0.65</v>
      </c>
    </row>
    <row r="33" spans="1:5">
      <c r="A33" s="29">
        <v>2017</v>
      </c>
      <c r="B33" s="29" t="s">
        <v>57</v>
      </c>
      <c r="C33" s="29" t="s">
        <v>59</v>
      </c>
      <c r="D33" s="30">
        <v>36700</v>
      </c>
      <c r="E33" s="31">
        <v>0.9</v>
      </c>
    </row>
    <row r="34" spans="1:5">
      <c r="A34" s="29">
        <v>2015</v>
      </c>
      <c r="B34" s="29" t="s">
        <v>57</v>
      </c>
      <c r="C34" s="29" t="s">
        <v>58</v>
      </c>
      <c r="D34" s="30">
        <v>8300</v>
      </c>
      <c r="E34" s="31">
        <v>0.99</v>
      </c>
    </row>
    <row r="35" spans="1:5">
      <c r="A35" s="29">
        <v>2016</v>
      </c>
      <c r="B35" s="29" t="s">
        <v>48</v>
      </c>
      <c r="C35" s="29" t="s">
        <v>50</v>
      </c>
      <c r="D35" s="30">
        <v>2900</v>
      </c>
      <c r="E35" s="31">
        <v>0.36</v>
      </c>
    </row>
    <row r="36" spans="1:5">
      <c r="A36" s="29">
        <v>2015</v>
      </c>
      <c r="B36" s="29" t="s">
        <v>57</v>
      </c>
      <c r="C36" s="29" t="s">
        <v>64</v>
      </c>
      <c r="D36" s="30">
        <v>8700</v>
      </c>
      <c r="E36" s="31">
        <v>0.9</v>
      </c>
    </row>
    <row r="37" spans="1:5">
      <c r="A37" s="29">
        <v>2017</v>
      </c>
      <c r="B37" s="29" t="s">
        <v>57</v>
      </c>
      <c r="C37" s="29" t="s">
        <v>60</v>
      </c>
      <c r="D37" s="30">
        <v>35000</v>
      </c>
      <c r="E37" s="31">
        <v>1</v>
      </c>
    </row>
    <row r="38" spans="1:5">
      <c r="A38" s="29">
        <v>2016</v>
      </c>
      <c r="B38" s="29" t="s">
        <v>55</v>
      </c>
      <c r="C38" s="29" t="s">
        <v>63</v>
      </c>
      <c r="D38" s="30">
        <v>8300</v>
      </c>
      <c r="E38" s="31">
        <v>0.46</v>
      </c>
    </row>
    <row r="39" spans="1:5">
      <c r="A39" s="29">
        <v>2016</v>
      </c>
      <c r="B39" s="29" t="s">
        <v>46</v>
      </c>
      <c r="C39" s="29" t="s">
        <v>69</v>
      </c>
      <c r="D39" s="30">
        <v>16700</v>
      </c>
      <c r="E39" s="31">
        <v>0.75</v>
      </c>
    </row>
    <row r="40" spans="1:5">
      <c r="A40" s="29">
        <v>2016</v>
      </c>
      <c r="B40" s="29" t="s">
        <v>55</v>
      </c>
      <c r="C40" s="29" t="s">
        <v>70</v>
      </c>
      <c r="D40" s="30">
        <v>1800</v>
      </c>
      <c r="E40" s="31">
        <v>0.15</v>
      </c>
    </row>
    <row r="41" spans="1:5">
      <c r="A41" s="29">
        <v>2017</v>
      </c>
      <c r="B41" s="29" t="s">
        <v>48</v>
      </c>
      <c r="C41" s="29" t="s">
        <v>49</v>
      </c>
      <c r="D41" s="30">
        <v>3700</v>
      </c>
      <c r="E41" s="31">
        <v>0.48</v>
      </c>
    </row>
    <row r="42" spans="1:5">
      <c r="A42" s="29">
        <v>2016</v>
      </c>
      <c r="B42" s="29" t="s">
        <v>48</v>
      </c>
      <c r="C42" s="29" t="s">
        <v>51</v>
      </c>
      <c r="D42" s="30">
        <v>12000</v>
      </c>
      <c r="E42" s="31">
        <v>0.66</v>
      </c>
    </row>
    <row r="43" spans="1:5">
      <c r="A43" s="29">
        <v>2015</v>
      </c>
      <c r="B43" s="29" t="s">
        <v>57</v>
      </c>
      <c r="C43" s="29" t="s">
        <v>60</v>
      </c>
      <c r="D43" s="30">
        <v>10000</v>
      </c>
      <c r="E43" s="31">
        <v>0.85</v>
      </c>
    </row>
    <row r="44" spans="1:5">
      <c r="A44" s="29">
        <v>2015</v>
      </c>
      <c r="B44" s="29" t="s">
        <v>46</v>
      </c>
      <c r="C44" s="29" t="s">
        <v>61</v>
      </c>
      <c r="D44" s="30">
        <v>500</v>
      </c>
      <c r="E44" s="31">
        <v>0.35</v>
      </c>
    </row>
    <row r="45" spans="1:5">
      <c r="A45" s="29">
        <v>2017</v>
      </c>
      <c r="B45" s="29" t="s">
        <v>46</v>
      </c>
      <c r="C45" s="29" t="s">
        <v>69</v>
      </c>
      <c r="D45" s="30">
        <v>21800</v>
      </c>
      <c r="E45" s="31">
        <v>0.96</v>
      </c>
    </row>
    <row r="46" spans="1:5">
      <c r="A46" s="29">
        <v>2016</v>
      </c>
      <c r="B46" s="29" t="s">
        <v>46</v>
      </c>
      <c r="C46" s="29" t="s">
        <v>47</v>
      </c>
      <c r="D46" s="30">
        <v>16400</v>
      </c>
      <c r="E46" s="31">
        <v>0.7</v>
      </c>
    </row>
    <row r="47" spans="1:5">
      <c r="A47" s="29">
        <v>2016</v>
      </c>
      <c r="B47" s="29" t="s">
        <v>48</v>
      </c>
      <c r="C47" s="29" t="s">
        <v>67</v>
      </c>
      <c r="D47" s="30">
        <v>400</v>
      </c>
      <c r="E47" s="31">
        <v>0.2</v>
      </c>
    </row>
    <row r="48" spans="1:5">
      <c r="A48" s="29">
        <v>2015</v>
      </c>
      <c r="B48" s="29" t="s">
        <v>48</v>
      </c>
      <c r="C48" s="29" t="s">
        <v>71</v>
      </c>
      <c r="D48" s="30">
        <v>3300</v>
      </c>
      <c r="E48" s="31">
        <v>0.36</v>
      </c>
    </row>
    <row r="49" spans="1:5">
      <c r="A49" s="29">
        <v>2017</v>
      </c>
      <c r="B49" s="29" t="s">
        <v>46</v>
      </c>
      <c r="C49" s="29" t="s">
        <v>53</v>
      </c>
      <c r="D49" s="30">
        <v>5000</v>
      </c>
      <c r="E49" s="31">
        <v>0.35</v>
      </c>
    </row>
    <row r="50" spans="1:5">
      <c r="A50" s="29">
        <v>2016</v>
      </c>
      <c r="B50" s="29" t="s">
        <v>46</v>
      </c>
      <c r="C50" s="29" t="s">
        <v>53</v>
      </c>
      <c r="D50" s="30">
        <v>3300</v>
      </c>
      <c r="E50" s="31">
        <v>0.38</v>
      </c>
    </row>
    <row r="51" spans="1:5">
      <c r="A51" s="29">
        <v>2015</v>
      </c>
      <c r="B51" s="29" t="s">
        <v>46</v>
      </c>
      <c r="C51" s="29" t="s">
        <v>72</v>
      </c>
      <c r="D51" s="30">
        <v>800</v>
      </c>
      <c r="E51" s="31">
        <v>0.36</v>
      </c>
    </row>
    <row r="52" spans="1:5">
      <c r="A52" s="29">
        <v>2016</v>
      </c>
      <c r="B52" s="29" t="s">
        <v>48</v>
      </c>
      <c r="C52" s="29" t="s">
        <v>73</v>
      </c>
      <c r="D52" s="30">
        <v>15600</v>
      </c>
      <c r="E52" s="31">
        <v>0.65</v>
      </c>
    </row>
    <row r="53" spans="1:5">
      <c r="A53" s="29">
        <v>2016</v>
      </c>
      <c r="B53" s="29" t="s">
        <v>46</v>
      </c>
      <c r="C53" s="29" t="s">
        <v>72</v>
      </c>
      <c r="D53" s="30">
        <v>1500</v>
      </c>
      <c r="E53" s="31">
        <v>0.17</v>
      </c>
    </row>
    <row r="54" spans="1:5">
      <c r="A54" s="29">
        <v>2017</v>
      </c>
      <c r="B54" s="29" t="s">
        <v>46</v>
      </c>
      <c r="C54" s="29" t="s">
        <v>72</v>
      </c>
      <c r="D54" s="30">
        <v>6200</v>
      </c>
      <c r="E54" s="31">
        <v>0.38</v>
      </c>
    </row>
    <row r="55" spans="1:5">
      <c r="A55" s="29">
        <v>2017</v>
      </c>
      <c r="B55" s="29" t="s">
        <v>48</v>
      </c>
      <c r="C55" s="29" t="s">
        <v>73</v>
      </c>
      <c r="D55" s="30">
        <v>27000</v>
      </c>
      <c r="E55" s="31">
        <v>0.88</v>
      </c>
    </row>
    <row r="56" spans="1:5">
      <c r="A56" s="29">
        <v>2016</v>
      </c>
      <c r="B56" s="29" t="s">
        <v>46</v>
      </c>
      <c r="C56" s="29" t="s">
        <v>74</v>
      </c>
      <c r="D56" s="30">
        <v>2800</v>
      </c>
      <c r="E56" s="31">
        <v>0.38</v>
      </c>
    </row>
    <row r="57" spans="1:5">
      <c r="A57" s="29">
        <v>2016</v>
      </c>
      <c r="B57" s="29" t="s">
        <v>55</v>
      </c>
      <c r="C57" s="29" t="s">
        <v>65</v>
      </c>
      <c r="D57" s="30">
        <v>6700</v>
      </c>
      <c r="E57" s="31">
        <v>0.46</v>
      </c>
    </row>
    <row r="58" spans="1:5">
      <c r="A58" s="29">
        <v>2015</v>
      </c>
      <c r="B58" s="29" t="s">
        <v>48</v>
      </c>
      <c r="C58" s="29" t="s">
        <v>73</v>
      </c>
      <c r="D58" s="30">
        <v>13300</v>
      </c>
      <c r="E58" s="31">
        <v>0.5</v>
      </c>
    </row>
    <row r="59" spans="1:5">
      <c r="A59" s="29">
        <v>2016</v>
      </c>
      <c r="B59" s="29" t="s">
        <v>57</v>
      </c>
      <c r="C59" s="29" t="s">
        <v>64</v>
      </c>
      <c r="D59" s="30">
        <v>13800</v>
      </c>
      <c r="E59" s="31">
        <v>0.85</v>
      </c>
    </row>
    <row r="60" spans="1:5">
      <c r="A60" s="29">
        <v>2017</v>
      </c>
      <c r="B60" s="29" t="s">
        <v>48</v>
      </c>
      <c r="C60" s="29" t="s">
        <v>71</v>
      </c>
      <c r="D60" s="30">
        <v>2400</v>
      </c>
      <c r="E60" s="31">
        <v>0.35</v>
      </c>
    </row>
    <row r="61" spans="1:5">
      <c r="A61" s="29">
        <v>2015</v>
      </c>
      <c r="B61" s="29" t="s">
        <v>57</v>
      </c>
      <c r="C61" s="29" t="s">
        <v>66</v>
      </c>
      <c r="D61" s="30">
        <v>300</v>
      </c>
      <c r="E61" s="31">
        <v>0.05</v>
      </c>
    </row>
    <row r="62" spans="1:5">
      <c r="A62" s="29">
        <v>2015</v>
      </c>
      <c r="B62" s="29" t="s">
        <v>46</v>
      </c>
      <c r="C62" s="29" t="s">
        <v>74</v>
      </c>
      <c r="D62" s="30">
        <v>2100</v>
      </c>
      <c r="E62" s="31">
        <v>0.49</v>
      </c>
    </row>
    <row r="63" spans="1:5">
      <c r="A63" s="29">
        <v>2015</v>
      </c>
      <c r="B63" s="29" t="s">
        <v>46</v>
      </c>
      <c r="C63" s="29" t="s">
        <v>54</v>
      </c>
      <c r="D63" s="30">
        <v>2300</v>
      </c>
      <c r="E63" s="31">
        <v>0.34</v>
      </c>
    </row>
    <row r="64" spans="1:5">
      <c r="A64" s="29">
        <v>2015</v>
      </c>
      <c r="B64" s="29" t="s">
        <v>46</v>
      </c>
      <c r="C64" s="29" t="s">
        <v>69</v>
      </c>
      <c r="D64" s="30">
        <v>10000</v>
      </c>
      <c r="E64" s="31">
        <v>0.66</v>
      </c>
    </row>
    <row r="65" spans="1:5">
      <c r="A65" s="29">
        <v>2015</v>
      </c>
      <c r="B65" s="29" t="s">
        <v>55</v>
      </c>
      <c r="C65" s="29" t="s">
        <v>70</v>
      </c>
      <c r="D65" s="30">
        <v>500</v>
      </c>
      <c r="E65" s="31">
        <v>0.22</v>
      </c>
    </row>
    <row r="66" spans="1:5">
      <c r="A66" s="29">
        <v>2016</v>
      </c>
      <c r="B66" s="29" t="s">
        <v>48</v>
      </c>
      <c r="C66" s="29" t="s">
        <v>62</v>
      </c>
      <c r="D66" s="30">
        <v>3800</v>
      </c>
      <c r="E66" s="31">
        <v>0.48</v>
      </c>
    </row>
    <row r="67" spans="1:5">
      <c r="A67" s="29">
        <v>2015</v>
      </c>
      <c r="B67" s="29" t="s">
        <v>55</v>
      </c>
      <c r="C67" s="29" t="s">
        <v>65</v>
      </c>
      <c r="D67" s="30">
        <v>3200</v>
      </c>
      <c r="E67" s="31">
        <v>0.48</v>
      </c>
    </row>
    <row r="68" spans="1:5">
      <c r="A68" s="29">
        <v>2017</v>
      </c>
      <c r="B68" s="29" t="s">
        <v>48</v>
      </c>
      <c r="C68" s="29" t="s">
        <v>51</v>
      </c>
      <c r="D68" s="30">
        <v>23000</v>
      </c>
      <c r="E68" s="31">
        <v>1</v>
      </c>
    </row>
    <row r="69" spans="1:5">
      <c r="A69" s="29">
        <v>2015</v>
      </c>
      <c r="B69" s="29" t="s">
        <v>48</v>
      </c>
      <c r="C69" s="29" t="s">
        <v>50</v>
      </c>
      <c r="D69" s="30">
        <v>700</v>
      </c>
      <c r="E69" s="31">
        <v>0.28000000000000003</v>
      </c>
    </row>
    <row r="70" spans="1:5">
      <c r="A70" s="29">
        <v>2015</v>
      </c>
      <c r="B70" s="29" t="s">
        <v>57</v>
      </c>
      <c r="C70" s="29" t="s">
        <v>59</v>
      </c>
      <c r="D70" s="30">
        <v>1300</v>
      </c>
      <c r="E70" s="31">
        <v>0.9</v>
      </c>
    </row>
    <row r="71" spans="1:5">
      <c r="A71" s="29">
        <v>2016</v>
      </c>
      <c r="B71" s="29" t="s">
        <v>48</v>
      </c>
      <c r="C71" s="29" t="s">
        <v>71</v>
      </c>
      <c r="D71" s="30">
        <v>1300</v>
      </c>
      <c r="E71" s="31">
        <v>0.25</v>
      </c>
    </row>
    <row r="72" spans="1:5">
      <c r="A72" s="29">
        <v>2016</v>
      </c>
      <c r="B72" s="29" t="s">
        <v>48</v>
      </c>
      <c r="C72" s="29" t="s">
        <v>52</v>
      </c>
      <c r="D72" s="30">
        <v>22100</v>
      </c>
      <c r="E72" s="31">
        <v>0.99</v>
      </c>
    </row>
    <row r="73" spans="1:5">
      <c r="A73" s="29">
        <v>2017</v>
      </c>
      <c r="B73" s="29" t="s">
        <v>46</v>
      </c>
      <c r="C73" s="29" t="s">
        <v>74</v>
      </c>
      <c r="D73" s="30">
        <v>3100</v>
      </c>
      <c r="E73" s="31">
        <v>0.42</v>
      </c>
    </row>
    <row r="74" spans="1:5">
      <c r="A74" s="29">
        <v>2015</v>
      </c>
      <c r="B74" s="29" t="s">
        <v>48</v>
      </c>
      <c r="C74" s="29" t="s">
        <v>67</v>
      </c>
      <c r="D74" s="30">
        <v>500</v>
      </c>
      <c r="E74" s="31">
        <v>0.5</v>
      </c>
    </row>
    <row r="75" spans="1:5">
      <c r="A75" s="29">
        <v>2017</v>
      </c>
      <c r="B75" s="29" t="s">
        <v>55</v>
      </c>
      <c r="C75" s="29" t="s">
        <v>70</v>
      </c>
      <c r="D75" s="30">
        <v>3100</v>
      </c>
      <c r="E75" s="31">
        <v>0.22</v>
      </c>
    </row>
    <row r="76" spans="1:5">
      <c r="A76" s="29">
        <v>2015</v>
      </c>
      <c r="B76" s="29" t="s">
        <v>46</v>
      </c>
      <c r="C76" s="29" t="s">
        <v>47</v>
      </c>
      <c r="D76" s="30">
        <v>8700</v>
      </c>
      <c r="E76" s="31">
        <v>0.92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BEF40CDB6EE64C91503E14B2EB15CB" ma:contentTypeVersion="11" ma:contentTypeDescription="Create a new document." ma:contentTypeScope="" ma:versionID="f23ef3256b378ecdf23651ade9a2f732">
  <xsd:schema xmlns:xsd="http://www.w3.org/2001/XMLSchema" xmlns:xs="http://www.w3.org/2001/XMLSchema" xmlns:p="http://schemas.microsoft.com/office/2006/metadata/properties" xmlns:ns2="bec6b80c-bcd8-4e1e-9750-17f532ec14e3" xmlns:ns3="b083506d-6977-47cd-82b9-1604811a4127" targetNamespace="http://schemas.microsoft.com/office/2006/metadata/properties" ma:root="true" ma:fieldsID="a706942f37ccca6456988b62e68fd233" ns2:_="" ns3:_="">
    <xsd:import namespace="bec6b80c-bcd8-4e1e-9750-17f532ec14e3"/>
    <xsd:import namespace="b083506d-6977-47cd-82b9-1604811a41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6b80c-bcd8-4e1e-9750-17f532ec14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3506d-6977-47cd-82b9-1604811a412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d4ba04e-7910-43f7-b5a8-48fdb0751b50}" ma:internalName="TaxCatchAll" ma:showField="CatchAllData" ma:web="b083506d-6977-47cd-82b9-1604811a41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083506d-6977-47cd-82b9-1604811a4127" xsi:nil="true"/>
    <lcf76f155ced4ddcb4097134ff3c332f xmlns="bec6b80c-bcd8-4e1e-9750-17f532ec14e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DD7552-6FC8-462E-955F-7B3AB0CB6767}"/>
</file>

<file path=customXml/itemProps2.xml><?xml version="1.0" encoding="utf-8"?>
<ds:datastoreItem xmlns:ds="http://schemas.openxmlformats.org/officeDocument/2006/customXml" ds:itemID="{6917997B-BA2A-4118-AECF-7E2FB65D8095}"/>
</file>

<file path=customXml/itemProps3.xml><?xml version="1.0" encoding="utf-8"?>
<ds:datastoreItem xmlns:ds="http://schemas.openxmlformats.org/officeDocument/2006/customXml" ds:itemID="{8BAF8E21-90E3-4695-8B8E-A7F7EC7E8757}"/>
</file>

<file path=docMetadata/LabelInfo.xml><?xml version="1.0" encoding="utf-8"?>
<clbl:labelList xmlns:clbl="http://schemas.microsoft.com/office/2020/mipLabelMetadata">
  <clbl:label id="{3ea7c128-c601-4479-a003-e14d00c0b5cb}" enabled="0" method="" siteId="{3ea7c128-c601-4479-a003-e14d00c0b5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Yusuf Satilmis</cp:lastModifiedBy>
  <cp:revision/>
  <dcterms:created xsi:type="dcterms:W3CDTF">2009-08-25T13:44:58Z</dcterms:created>
  <dcterms:modified xsi:type="dcterms:W3CDTF">2026-07-02T10:52:14Z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0x010100C0BEF40CDB6EE64C91503E14B2EB15CB</vt:lpwstr>
  </property>
  <property fmtid="{D5CDD505-2E9C-101B-9397-08002B2CF9AE}" pid="3" name="MediaServiceImageTags">
    <vt:lpwstr/>
  </property>
</Properties>
</file>