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.sharepoint.com/sites/2025-12-01_REGIONAL_DATA/Class Materials/Week 1 Excel/Day 2/"/>
    </mc:Choice>
  </mc:AlternateContent>
  <xr:revisionPtr revIDLastSave="774" documentId="8_{A1B6FE3E-8BD6-4C9B-AFBF-A92F2DF013F5}" xr6:coauthVersionLast="47" xr6:coauthVersionMax="47" xr10:uidLastSave="{981DA633-AF5D-4458-9075-486D32234C88}"/>
  <bookViews>
    <workbookView xWindow="-28920" yWindow="-1530" windowWidth="29040" windowHeight="16440" firstSheet="4" activeTab="4" xr2:uid="{00000000-000D-0000-FFFF-FFFF00000000}"/>
  </bookViews>
  <sheets>
    <sheet name="retail_sales_dataset" sheetId="1" r:id="rId1"/>
    <sheet name="Transactions" sheetId="2" r:id="rId2"/>
    <sheet name="Q1 Sales by Cateogry" sheetId="3" r:id="rId3"/>
    <sheet name="Q2 Sales by Gender and Category" sheetId="4" r:id="rId4"/>
    <sheet name="Q3 Sales by Generation and Cat" sheetId="5" r:id="rId5"/>
  </sheets>
  <definedNames>
    <definedName name="_xlnm._FilterDatabase" localSheetId="0" hidden="1">retail_sales_dataset!$A$1:$N$1001</definedName>
    <definedName name="_xlcn.WorksheetConnection_retail_sales_dataset.xlsxTable1" hidden="1">retail_sales_dataset!$A$1:$L$1001</definedName>
    <definedName name="Slicer_Gender">#N/A</definedName>
    <definedName name="Slicer_Generation">#N/A</definedName>
    <definedName name="Slicer_Product_Category">#N/A</definedName>
  </definedNames>
  <calcPr calcId="191028"/>
  <pivotCaches>
    <pivotCache cacheId="11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/>
  <c r="A16" i="2"/>
  <c r="A13" i="2"/>
  <c r="C3" i="2" a="1"/>
  <c r="C3" i="2"/>
  <c r="C4" i="2" a="1"/>
  <c r="C4" i="2"/>
  <c r="C5" i="2" a="1"/>
  <c r="C5" i="2"/>
  <c r="C6" i="2" a="1"/>
  <c r="C6" i="2"/>
  <c r="C7" i="2" a="1"/>
  <c r="C7" i="2"/>
  <c r="C8" i="2" a="1"/>
  <c r="C8" i="2"/>
  <c r="C9" i="2" a="1"/>
  <c r="C9" i="2"/>
  <c r="C10" i="2" a="1"/>
  <c r="C10" i="2"/>
  <c r="I3" i="1" a="1"/>
  <c r="I3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68" i="1" a="1"/>
  <c r="I368" i="1"/>
  <c r="I369" i="1" a="1"/>
  <c r="I369" i="1"/>
  <c r="I370" i="1" a="1"/>
  <c r="I370" i="1"/>
  <c r="I371" i="1" a="1"/>
  <c r="I371" i="1"/>
  <c r="I372" i="1" a="1"/>
  <c r="I372" i="1"/>
  <c r="I373" i="1" a="1"/>
  <c r="I373" i="1"/>
  <c r="I374" i="1" a="1"/>
  <c r="I374" i="1"/>
  <c r="I375" i="1" a="1"/>
  <c r="I375" i="1"/>
  <c r="I376" i="1" a="1"/>
  <c r="I376" i="1"/>
  <c r="I377" i="1" a="1"/>
  <c r="I377" i="1"/>
  <c r="I378" i="1" a="1"/>
  <c r="I378" i="1"/>
  <c r="I379" i="1" a="1"/>
  <c r="I379" i="1"/>
  <c r="I380" i="1" a="1"/>
  <c r="I380" i="1"/>
  <c r="I381" i="1" a="1"/>
  <c r="I381" i="1"/>
  <c r="I382" i="1" a="1"/>
  <c r="I382" i="1"/>
  <c r="I383" i="1" a="1"/>
  <c r="I383" i="1"/>
  <c r="I384" i="1" a="1"/>
  <c r="I384" i="1"/>
  <c r="I385" i="1" a="1"/>
  <c r="I385" i="1"/>
  <c r="I386" i="1" a="1"/>
  <c r="I386" i="1"/>
  <c r="I387" i="1" a="1"/>
  <c r="I387" i="1"/>
  <c r="I388" i="1" a="1"/>
  <c r="I388" i="1"/>
  <c r="I389" i="1" a="1"/>
  <c r="I389" i="1"/>
  <c r="I390" i="1" a="1"/>
  <c r="I390" i="1"/>
  <c r="I391" i="1" a="1"/>
  <c r="I391" i="1"/>
  <c r="I392" i="1" a="1"/>
  <c r="I392" i="1"/>
  <c r="I393" i="1" a="1"/>
  <c r="I393" i="1"/>
  <c r="I394" i="1" a="1"/>
  <c r="I394" i="1"/>
  <c r="I395" i="1" a="1"/>
  <c r="I395" i="1"/>
  <c r="I396" i="1" a="1"/>
  <c r="I396" i="1"/>
  <c r="I397" i="1" a="1"/>
  <c r="I397" i="1"/>
  <c r="I398" i="1" a="1"/>
  <c r="I398" i="1"/>
  <c r="I399" i="1" a="1"/>
  <c r="I399" i="1"/>
  <c r="I400" i="1" a="1"/>
  <c r="I400" i="1"/>
  <c r="I401" i="1" a="1"/>
  <c r="I401" i="1"/>
  <c r="I402" i="1" a="1"/>
  <c r="I402" i="1"/>
  <c r="I403" i="1" a="1"/>
  <c r="I403" i="1"/>
  <c r="I404" i="1" a="1"/>
  <c r="I404" i="1"/>
  <c r="I405" i="1" a="1"/>
  <c r="I405" i="1"/>
  <c r="I406" i="1" a="1"/>
  <c r="I406" i="1"/>
  <c r="I407" i="1" a="1"/>
  <c r="I407" i="1"/>
  <c r="I408" i="1" a="1"/>
  <c r="I408" i="1"/>
  <c r="I409" i="1" a="1"/>
  <c r="I409" i="1"/>
  <c r="I410" i="1" a="1"/>
  <c r="I410" i="1"/>
  <c r="I411" i="1" a="1"/>
  <c r="I411" i="1"/>
  <c r="I412" i="1" a="1"/>
  <c r="I412" i="1"/>
  <c r="I413" i="1" a="1"/>
  <c r="I413" i="1"/>
  <c r="I414" i="1" a="1"/>
  <c r="I414" i="1"/>
  <c r="I415" i="1" a="1"/>
  <c r="I415" i="1"/>
  <c r="I416" i="1" a="1"/>
  <c r="I416" i="1"/>
  <c r="I417" i="1" a="1"/>
  <c r="I417" i="1"/>
  <c r="I418" i="1" a="1"/>
  <c r="I418" i="1"/>
  <c r="I419" i="1" a="1"/>
  <c r="I419" i="1"/>
  <c r="I420" i="1" a="1"/>
  <c r="I420" i="1"/>
  <c r="I421" i="1" a="1"/>
  <c r="I421" i="1"/>
  <c r="I422" i="1" a="1"/>
  <c r="I422" i="1"/>
  <c r="I423" i="1" a="1"/>
  <c r="I423" i="1"/>
  <c r="I424" i="1" a="1"/>
  <c r="I424" i="1"/>
  <c r="I425" i="1" a="1"/>
  <c r="I425" i="1"/>
  <c r="I426" i="1" a="1"/>
  <c r="I426" i="1"/>
  <c r="I427" i="1" a="1"/>
  <c r="I427" i="1"/>
  <c r="I428" i="1" a="1"/>
  <c r="I428" i="1"/>
  <c r="I429" i="1" a="1"/>
  <c r="I429" i="1"/>
  <c r="I430" i="1" a="1"/>
  <c r="I430" i="1"/>
  <c r="I431" i="1" a="1"/>
  <c r="I431" i="1"/>
  <c r="I432" i="1" a="1"/>
  <c r="I432" i="1"/>
  <c r="I433" i="1" a="1"/>
  <c r="I433" i="1"/>
  <c r="I434" i="1" a="1"/>
  <c r="I434" i="1"/>
  <c r="I435" i="1" a="1"/>
  <c r="I435" i="1"/>
  <c r="I436" i="1" a="1"/>
  <c r="I436" i="1"/>
  <c r="I437" i="1" a="1"/>
  <c r="I437" i="1"/>
  <c r="I438" i="1" a="1"/>
  <c r="I438" i="1"/>
  <c r="I439" i="1" a="1"/>
  <c r="I439" i="1"/>
  <c r="I440" i="1" a="1"/>
  <c r="I440" i="1"/>
  <c r="I441" i="1" a="1"/>
  <c r="I441" i="1"/>
  <c r="I442" i="1" a="1"/>
  <c r="I442" i="1"/>
  <c r="I443" i="1" a="1"/>
  <c r="I443" i="1"/>
  <c r="I444" i="1" a="1"/>
  <c r="I444" i="1"/>
  <c r="I445" i="1" a="1"/>
  <c r="I445" i="1"/>
  <c r="I446" i="1" a="1"/>
  <c r="I446" i="1"/>
  <c r="I447" i="1" a="1"/>
  <c r="I447" i="1"/>
  <c r="I448" i="1" a="1"/>
  <c r="I448" i="1"/>
  <c r="I449" i="1" a="1"/>
  <c r="I449" i="1"/>
  <c r="I450" i="1" a="1"/>
  <c r="I450" i="1"/>
  <c r="I451" i="1" a="1"/>
  <c r="I451" i="1"/>
  <c r="I452" i="1" a="1"/>
  <c r="I452" i="1"/>
  <c r="I453" i="1" a="1"/>
  <c r="I453" i="1"/>
  <c r="I454" i="1" a="1"/>
  <c r="I454" i="1"/>
  <c r="I455" i="1" a="1"/>
  <c r="I455" i="1"/>
  <c r="I456" i="1" a="1"/>
  <c r="I456" i="1"/>
  <c r="I457" i="1" a="1"/>
  <c r="I457" i="1"/>
  <c r="I458" i="1" a="1"/>
  <c r="I458" i="1"/>
  <c r="I459" i="1" a="1"/>
  <c r="I459" i="1"/>
  <c r="I460" i="1" a="1"/>
  <c r="I460" i="1"/>
  <c r="I461" i="1" a="1"/>
  <c r="I461" i="1"/>
  <c r="I462" i="1" a="1"/>
  <c r="I462" i="1"/>
  <c r="I463" i="1" a="1"/>
  <c r="I463" i="1"/>
  <c r="I464" i="1" a="1"/>
  <c r="I464" i="1"/>
  <c r="I465" i="1" a="1"/>
  <c r="I465" i="1"/>
  <c r="I466" i="1" a="1"/>
  <c r="I466" i="1"/>
  <c r="I467" i="1" a="1"/>
  <c r="I467" i="1"/>
  <c r="I468" i="1" a="1"/>
  <c r="I468" i="1"/>
  <c r="I469" i="1" a="1"/>
  <c r="I469" i="1"/>
  <c r="I470" i="1" a="1"/>
  <c r="I470" i="1"/>
  <c r="I471" i="1" a="1"/>
  <c r="I471" i="1"/>
  <c r="I472" i="1" a="1"/>
  <c r="I472" i="1"/>
  <c r="I473" i="1" a="1"/>
  <c r="I473" i="1"/>
  <c r="I474" i="1" a="1"/>
  <c r="I474" i="1"/>
  <c r="I475" i="1" a="1"/>
  <c r="I475" i="1"/>
  <c r="I476" i="1" a="1"/>
  <c r="I476" i="1"/>
  <c r="I477" i="1" a="1"/>
  <c r="I477" i="1"/>
  <c r="I478" i="1" a="1"/>
  <c r="I478" i="1"/>
  <c r="I479" i="1" a="1"/>
  <c r="I479" i="1"/>
  <c r="I480" i="1" a="1"/>
  <c r="I480" i="1"/>
  <c r="I481" i="1" a="1"/>
  <c r="I481" i="1"/>
  <c r="I482" i="1" a="1"/>
  <c r="I482" i="1"/>
  <c r="I483" i="1" a="1"/>
  <c r="I483" i="1"/>
  <c r="I484" i="1" a="1"/>
  <c r="I484" i="1"/>
  <c r="I485" i="1" a="1"/>
  <c r="I485" i="1"/>
  <c r="I486" i="1" a="1"/>
  <c r="I486" i="1"/>
  <c r="I487" i="1" a="1"/>
  <c r="I487" i="1"/>
  <c r="I488" i="1" a="1"/>
  <c r="I488" i="1"/>
  <c r="I489" i="1" a="1"/>
  <c r="I489" i="1"/>
  <c r="I490" i="1" a="1"/>
  <c r="I490" i="1"/>
  <c r="I491" i="1" a="1"/>
  <c r="I491" i="1"/>
  <c r="I492" i="1" a="1"/>
  <c r="I492" i="1"/>
  <c r="I493" i="1" a="1"/>
  <c r="I493" i="1"/>
  <c r="I494" i="1" a="1"/>
  <c r="I494" i="1"/>
  <c r="I495" i="1" a="1"/>
  <c r="I495" i="1"/>
  <c r="I496" i="1" a="1"/>
  <c r="I496" i="1"/>
  <c r="I497" i="1" a="1"/>
  <c r="I497" i="1"/>
  <c r="I498" i="1" a="1"/>
  <c r="I498" i="1"/>
  <c r="I499" i="1" a="1"/>
  <c r="I499" i="1"/>
  <c r="I500" i="1" a="1"/>
  <c r="I500" i="1"/>
  <c r="I501" i="1" a="1"/>
  <c r="I501" i="1"/>
  <c r="I502" i="1" a="1"/>
  <c r="I502" i="1"/>
  <c r="I503" i="1" a="1"/>
  <c r="I503" i="1"/>
  <c r="I504" i="1" a="1"/>
  <c r="I504" i="1"/>
  <c r="I505" i="1" a="1"/>
  <c r="I505" i="1"/>
  <c r="I506" i="1" a="1"/>
  <c r="I506" i="1"/>
  <c r="I507" i="1" a="1"/>
  <c r="I507" i="1"/>
  <c r="I508" i="1" a="1"/>
  <c r="I508" i="1"/>
  <c r="I509" i="1" a="1"/>
  <c r="I509" i="1"/>
  <c r="I510" i="1" a="1"/>
  <c r="I510" i="1"/>
  <c r="I511" i="1" a="1"/>
  <c r="I511" i="1"/>
  <c r="I512" i="1" a="1"/>
  <c r="I512" i="1"/>
  <c r="I513" i="1" a="1"/>
  <c r="I513" i="1"/>
  <c r="I514" i="1" a="1"/>
  <c r="I514" i="1"/>
  <c r="I515" i="1" a="1"/>
  <c r="I515" i="1"/>
  <c r="I516" i="1" a="1"/>
  <c r="I516" i="1"/>
  <c r="I517" i="1" a="1"/>
  <c r="I517" i="1"/>
  <c r="I518" i="1" a="1"/>
  <c r="I518" i="1"/>
  <c r="I519" i="1" a="1"/>
  <c r="I519" i="1"/>
  <c r="I520" i="1" a="1"/>
  <c r="I520" i="1"/>
  <c r="I521" i="1" a="1"/>
  <c r="I521" i="1"/>
  <c r="I522" i="1" a="1"/>
  <c r="I522" i="1"/>
  <c r="I523" i="1" a="1"/>
  <c r="I523" i="1"/>
  <c r="I524" i="1" a="1"/>
  <c r="I524" i="1"/>
  <c r="I525" i="1" a="1"/>
  <c r="I525" i="1"/>
  <c r="I526" i="1" a="1"/>
  <c r="I526" i="1"/>
  <c r="I527" i="1" a="1"/>
  <c r="I527" i="1"/>
  <c r="I528" i="1" a="1"/>
  <c r="I528" i="1"/>
  <c r="I529" i="1" a="1"/>
  <c r="I529" i="1"/>
  <c r="I530" i="1" a="1"/>
  <c r="I530" i="1"/>
  <c r="I531" i="1" a="1"/>
  <c r="I531" i="1"/>
  <c r="I532" i="1" a="1"/>
  <c r="I532" i="1"/>
  <c r="I533" i="1" a="1"/>
  <c r="I533" i="1"/>
  <c r="I534" i="1" a="1"/>
  <c r="I534" i="1"/>
  <c r="I535" i="1" a="1"/>
  <c r="I535" i="1"/>
  <c r="I536" i="1" a="1"/>
  <c r="I536" i="1"/>
  <c r="I537" i="1" a="1"/>
  <c r="I537" i="1"/>
  <c r="I538" i="1" a="1"/>
  <c r="I538" i="1"/>
  <c r="I539" i="1" a="1"/>
  <c r="I539" i="1"/>
  <c r="I540" i="1" a="1"/>
  <c r="I540" i="1"/>
  <c r="I541" i="1" a="1"/>
  <c r="I541" i="1"/>
  <c r="I542" i="1" a="1"/>
  <c r="I542" i="1"/>
  <c r="I543" i="1" a="1"/>
  <c r="I543" i="1"/>
  <c r="I544" i="1" a="1"/>
  <c r="I544" i="1"/>
  <c r="I545" i="1" a="1"/>
  <c r="I545" i="1"/>
  <c r="I546" i="1" a="1"/>
  <c r="I546" i="1"/>
  <c r="I547" i="1" a="1"/>
  <c r="I547" i="1"/>
  <c r="I548" i="1" a="1"/>
  <c r="I548" i="1"/>
  <c r="I549" i="1" a="1"/>
  <c r="I549" i="1"/>
  <c r="I550" i="1" a="1"/>
  <c r="I550" i="1"/>
  <c r="I551" i="1" a="1"/>
  <c r="I551" i="1"/>
  <c r="I552" i="1" a="1"/>
  <c r="I552" i="1"/>
  <c r="I553" i="1" a="1"/>
  <c r="I553" i="1"/>
  <c r="I554" i="1" a="1"/>
  <c r="I554" i="1"/>
  <c r="I555" i="1" a="1"/>
  <c r="I555" i="1"/>
  <c r="I556" i="1" a="1"/>
  <c r="I556" i="1"/>
  <c r="I557" i="1" a="1"/>
  <c r="I557" i="1"/>
  <c r="I558" i="1" a="1"/>
  <c r="I558" i="1"/>
  <c r="I559" i="1" a="1"/>
  <c r="I559" i="1"/>
  <c r="I560" i="1" a="1"/>
  <c r="I560" i="1"/>
  <c r="I561" i="1" a="1"/>
  <c r="I561" i="1"/>
  <c r="I562" i="1" a="1"/>
  <c r="I562" i="1"/>
  <c r="I563" i="1" a="1"/>
  <c r="I563" i="1"/>
  <c r="I564" i="1" a="1"/>
  <c r="I564" i="1"/>
  <c r="I565" i="1" a="1"/>
  <c r="I565" i="1"/>
  <c r="I566" i="1" a="1"/>
  <c r="I566" i="1"/>
  <c r="I567" i="1" a="1"/>
  <c r="I567" i="1"/>
  <c r="I568" i="1" a="1"/>
  <c r="I568" i="1"/>
  <c r="I569" i="1" a="1"/>
  <c r="I569" i="1"/>
  <c r="I570" i="1" a="1"/>
  <c r="I570" i="1"/>
  <c r="I571" i="1" a="1"/>
  <c r="I571" i="1"/>
  <c r="I572" i="1" a="1"/>
  <c r="I572" i="1"/>
  <c r="I573" i="1" a="1"/>
  <c r="I573" i="1"/>
  <c r="I574" i="1" a="1"/>
  <c r="I574" i="1"/>
  <c r="I575" i="1" a="1"/>
  <c r="I575" i="1"/>
  <c r="I576" i="1" a="1"/>
  <c r="I576" i="1"/>
  <c r="I577" i="1" a="1"/>
  <c r="I577" i="1"/>
  <c r="I578" i="1" a="1"/>
  <c r="I578" i="1"/>
  <c r="I579" i="1" a="1"/>
  <c r="I579" i="1"/>
  <c r="I580" i="1" a="1"/>
  <c r="I580" i="1"/>
  <c r="I581" i="1" a="1"/>
  <c r="I581" i="1"/>
  <c r="I582" i="1" a="1"/>
  <c r="I582" i="1"/>
  <c r="I583" i="1" a="1"/>
  <c r="I583" i="1"/>
  <c r="I584" i="1" a="1"/>
  <c r="I584" i="1"/>
  <c r="I585" i="1" a="1"/>
  <c r="I585" i="1"/>
  <c r="I586" i="1" a="1"/>
  <c r="I586" i="1"/>
  <c r="I587" i="1" a="1"/>
  <c r="I587" i="1"/>
  <c r="I588" i="1" a="1"/>
  <c r="I588" i="1"/>
  <c r="I589" i="1" a="1"/>
  <c r="I589" i="1"/>
  <c r="I590" i="1" a="1"/>
  <c r="I590" i="1"/>
  <c r="I591" i="1" a="1"/>
  <c r="I591" i="1"/>
  <c r="I592" i="1" a="1"/>
  <c r="I592" i="1"/>
  <c r="I593" i="1" a="1"/>
  <c r="I593" i="1"/>
  <c r="I594" i="1" a="1"/>
  <c r="I594" i="1"/>
  <c r="I595" i="1" a="1"/>
  <c r="I595" i="1"/>
  <c r="I596" i="1" a="1"/>
  <c r="I596" i="1"/>
  <c r="I597" i="1" a="1"/>
  <c r="I597" i="1"/>
  <c r="I598" i="1" a="1"/>
  <c r="I598" i="1"/>
  <c r="I599" i="1" a="1"/>
  <c r="I599" i="1"/>
  <c r="I600" i="1" a="1"/>
  <c r="I600" i="1"/>
  <c r="I601" i="1" a="1"/>
  <c r="I601" i="1"/>
  <c r="I602" i="1" a="1"/>
  <c r="I602" i="1"/>
  <c r="I603" i="1" a="1"/>
  <c r="I603" i="1"/>
  <c r="I604" i="1" a="1"/>
  <c r="I604" i="1"/>
  <c r="I605" i="1" a="1"/>
  <c r="I605" i="1"/>
  <c r="I606" i="1" a="1"/>
  <c r="I606" i="1"/>
  <c r="I607" i="1" a="1"/>
  <c r="I607" i="1"/>
  <c r="I608" i="1" a="1"/>
  <c r="I608" i="1"/>
  <c r="I609" i="1" a="1"/>
  <c r="I609" i="1"/>
  <c r="I610" i="1" a="1"/>
  <c r="I610" i="1"/>
  <c r="I611" i="1" a="1"/>
  <c r="I611" i="1"/>
  <c r="I612" i="1" a="1"/>
  <c r="I612" i="1"/>
  <c r="I613" i="1" a="1"/>
  <c r="I613" i="1"/>
  <c r="I614" i="1" a="1"/>
  <c r="I614" i="1"/>
  <c r="I615" i="1" a="1"/>
  <c r="I615" i="1"/>
  <c r="I616" i="1" a="1"/>
  <c r="I616" i="1"/>
  <c r="I617" i="1" a="1"/>
  <c r="I617" i="1"/>
  <c r="I618" i="1" a="1"/>
  <c r="I618" i="1"/>
  <c r="I619" i="1" a="1"/>
  <c r="I619" i="1"/>
  <c r="I620" i="1" a="1"/>
  <c r="I620" i="1"/>
  <c r="I621" i="1" a="1"/>
  <c r="I621" i="1"/>
  <c r="I622" i="1" a="1"/>
  <c r="I622" i="1"/>
  <c r="I623" i="1" a="1"/>
  <c r="I623" i="1"/>
  <c r="I624" i="1" a="1"/>
  <c r="I624" i="1"/>
  <c r="I625" i="1" a="1"/>
  <c r="I625" i="1"/>
  <c r="I626" i="1" a="1"/>
  <c r="I626" i="1"/>
  <c r="I627" i="1" a="1"/>
  <c r="I627" i="1"/>
  <c r="I628" i="1" a="1"/>
  <c r="I628" i="1"/>
  <c r="I629" i="1" a="1"/>
  <c r="I629" i="1"/>
  <c r="I630" i="1" a="1"/>
  <c r="I630" i="1"/>
  <c r="I631" i="1" a="1"/>
  <c r="I631" i="1"/>
  <c r="I632" i="1" a="1"/>
  <c r="I632" i="1"/>
  <c r="I633" i="1" a="1"/>
  <c r="I633" i="1"/>
  <c r="I634" i="1" a="1"/>
  <c r="I634" i="1"/>
  <c r="I635" i="1" a="1"/>
  <c r="I635" i="1"/>
  <c r="I636" i="1" a="1"/>
  <c r="I636" i="1"/>
  <c r="I637" i="1" a="1"/>
  <c r="I637" i="1"/>
  <c r="I638" i="1" a="1"/>
  <c r="I638" i="1"/>
  <c r="I639" i="1" a="1"/>
  <c r="I639" i="1"/>
  <c r="I640" i="1" a="1"/>
  <c r="I640" i="1"/>
  <c r="I641" i="1" a="1"/>
  <c r="I641" i="1"/>
  <c r="I642" i="1" a="1"/>
  <c r="I642" i="1"/>
  <c r="I643" i="1" a="1"/>
  <c r="I643" i="1"/>
  <c r="I644" i="1" a="1"/>
  <c r="I644" i="1"/>
  <c r="I645" i="1" a="1"/>
  <c r="I645" i="1"/>
  <c r="I646" i="1" a="1"/>
  <c r="I646" i="1"/>
  <c r="I647" i="1" a="1"/>
  <c r="I647" i="1"/>
  <c r="I648" i="1" a="1"/>
  <c r="I648" i="1"/>
  <c r="I649" i="1" a="1"/>
  <c r="I649" i="1"/>
  <c r="I650" i="1" a="1"/>
  <c r="I650" i="1"/>
  <c r="I651" i="1" a="1"/>
  <c r="I651" i="1"/>
  <c r="I652" i="1" a="1"/>
  <c r="I652" i="1"/>
  <c r="I653" i="1" a="1"/>
  <c r="I653" i="1"/>
  <c r="I654" i="1" a="1"/>
  <c r="I654" i="1"/>
  <c r="I655" i="1" a="1"/>
  <c r="I655" i="1"/>
  <c r="I656" i="1" a="1"/>
  <c r="I656" i="1"/>
  <c r="I657" i="1" a="1"/>
  <c r="I657" i="1"/>
  <c r="I658" i="1" a="1"/>
  <c r="I658" i="1"/>
  <c r="I659" i="1" a="1"/>
  <c r="I659" i="1"/>
  <c r="I660" i="1" a="1"/>
  <c r="I660" i="1"/>
  <c r="I661" i="1" a="1"/>
  <c r="I661" i="1"/>
  <c r="I662" i="1" a="1"/>
  <c r="I662" i="1"/>
  <c r="I663" i="1" a="1"/>
  <c r="I663" i="1"/>
  <c r="I664" i="1" a="1"/>
  <c r="I664" i="1"/>
  <c r="I665" i="1" a="1"/>
  <c r="I665" i="1"/>
  <c r="I666" i="1" a="1"/>
  <c r="I666" i="1"/>
  <c r="I667" i="1" a="1"/>
  <c r="I667" i="1"/>
  <c r="I668" i="1" a="1"/>
  <c r="I668" i="1"/>
  <c r="I669" i="1" a="1"/>
  <c r="I669" i="1"/>
  <c r="I670" i="1" a="1"/>
  <c r="I670" i="1"/>
  <c r="I671" i="1" a="1"/>
  <c r="I671" i="1"/>
  <c r="I672" i="1" a="1"/>
  <c r="I672" i="1"/>
  <c r="I673" i="1" a="1"/>
  <c r="I673" i="1"/>
  <c r="I674" i="1" a="1"/>
  <c r="I674" i="1"/>
  <c r="I675" i="1" a="1"/>
  <c r="I675" i="1"/>
  <c r="I676" i="1" a="1"/>
  <c r="I676" i="1"/>
  <c r="I677" i="1" a="1"/>
  <c r="I677" i="1"/>
  <c r="I678" i="1" a="1"/>
  <c r="I678" i="1"/>
  <c r="I679" i="1" a="1"/>
  <c r="I679" i="1"/>
  <c r="I680" i="1" a="1"/>
  <c r="I680" i="1"/>
  <c r="I681" i="1" a="1"/>
  <c r="I681" i="1"/>
  <c r="I682" i="1" a="1"/>
  <c r="I682" i="1"/>
  <c r="I683" i="1" a="1"/>
  <c r="I683" i="1"/>
  <c r="I684" i="1" a="1"/>
  <c r="I684" i="1"/>
  <c r="I685" i="1" a="1"/>
  <c r="I685" i="1"/>
  <c r="I686" i="1" a="1"/>
  <c r="I686" i="1"/>
  <c r="I687" i="1" a="1"/>
  <c r="I687" i="1"/>
  <c r="I688" i="1" a="1"/>
  <c r="I688" i="1"/>
  <c r="I689" i="1" a="1"/>
  <c r="I689" i="1"/>
  <c r="I690" i="1" a="1"/>
  <c r="I690" i="1"/>
  <c r="I691" i="1" a="1"/>
  <c r="I691" i="1"/>
  <c r="I692" i="1" a="1"/>
  <c r="I692" i="1"/>
  <c r="I693" i="1" a="1"/>
  <c r="I693" i="1"/>
  <c r="I694" i="1" a="1"/>
  <c r="I694" i="1"/>
  <c r="I695" i="1" a="1"/>
  <c r="I695" i="1"/>
  <c r="I696" i="1" a="1"/>
  <c r="I696" i="1"/>
  <c r="I697" i="1" a="1"/>
  <c r="I697" i="1"/>
  <c r="I698" i="1" a="1"/>
  <c r="I698" i="1"/>
  <c r="I699" i="1" a="1"/>
  <c r="I699" i="1"/>
  <c r="I700" i="1" a="1"/>
  <c r="I700" i="1"/>
  <c r="I701" i="1" a="1"/>
  <c r="I701" i="1"/>
  <c r="I702" i="1" a="1"/>
  <c r="I702" i="1"/>
  <c r="I703" i="1" a="1"/>
  <c r="I703" i="1"/>
  <c r="I704" i="1" a="1"/>
  <c r="I704" i="1"/>
  <c r="I705" i="1" a="1"/>
  <c r="I705" i="1"/>
  <c r="I706" i="1" a="1"/>
  <c r="I706" i="1"/>
  <c r="I707" i="1" a="1"/>
  <c r="I707" i="1"/>
  <c r="I708" i="1" a="1"/>
  <c r="I708" i="1"/>
  <c r="I709" i="1" a="1"/>
  <c r="I709" i="1"/>
  <c r="I710" i="1" a="1"/>
  <c r="I710" i="1"/>
  <c r="I711" i="1" a="1"/>
  <c r="I711" i="1"/>
  <c r="I712" i="1" a="1"/>
  <c r="I712" i="1"/>
  <c r="I713" i="1" a="1"/>
  <c r="I713" i="1"/>
  <c r="I714" i="1" a="1"/>
  <c r="I714" i="1"/>
  <c r="I715" i="1" a="1"/>
  <c r="I715" i="1"/>
  <c r="I716" i="1" a="1"/>
  <c r="I716" i="1"/>
  <c r="I717" i="1" a="1"/>
  <c r="I717" i="1"/>
  <c r="I718" i="1" a="1"/>
  <c r="I718" i="1"/>
  <c r="I719" i="1" a="1"/>
  <c r="I719" i="1"/>
  <c r="I720" i="1" a="1"/>
  <c r="I720" i="1"/>
  <c r="I721" i="1" a="1"/>
  <c r="I721" i="1"/>
  <c r="I722" i="1" a="1"/>
  <c r="I722" i="1"/>
  <c r="I723" i="1" a="1"/>
  <c r="I723" i="1"/>
  <c r="I724" i="1" a="1"/>
  <c r="I724" i="1"/>
  <c r="I725" i="1" a="1"/>
  <c r="I725" i="1"/>
  <c r="I726" i="1" a="1"/>
  <c r="I726" i="1"/>
  <c r="I727" i="1" a="1"/>
  <c r="I727" i="1"/>
  <c r="I728" i="1" a="1"/>
  <c r="I728" i="1"/>
  <c r="I729" i="1" a="1"/>
  <c r="I729" i="1"/>
  <c r="I730" i="1" a="1"/>
  <c r="I730" i="1"/>
  <c r="I731" i="1" a="1"/>
  <c r="I731" i="1"/>
  <c r="I732" i="1" a="1"/>
  <c r="I732" i="1"/>
  <c r="I733" i="1" a="1"/>
  <c r="I733" i="1"/>
  <c r="I734" i="1" a="1"/>
  <c r="I734" i="1"/>
  <c r="I735" i="1" a="1"/>
  <c r="I735" i="1"/>
  <c r="I736" i="1" a="1"/>
  <c r="I736" i="1"/>
  <c r="I737" i="1" a="1"/>
  <c r="I737" i="1"/>
  <c r="I738" i="1" a="1"/>
  <c r="I738" i="1"/>
  <c r="I739" i="1" a="1"/>
  <c r="I739" i="1"/>
  <c r="I740" i="1" a="1"/>
  <c r="I740" i="1"/>
  <c r="I741" i="1" a="1"/>
  <c r="I741" i="1"/>
  <c r="I742" i="1" a="1"/>
  <c r="I742" i="1"/>
  <c r="I743" i="1" a="1"/>
  <c r="I743" i="1"/>
  <c r="I744" i="1" a="1"/>
  <c r="I744" i="1"/>
  <c r="I745" i="1" a="1"/>
  <c r="I745" i="1"/>
  <c r="I746" i="1" a="1"/>
  <c r="I746" i="1"/>
  <c r="I747" i="1" a="1"/>
  <c r="I747" i="1"/>
  <c r="I748" i="1" a="1"/>
  <c r="I748" i="1"/>
  <c r="I749" i="1" a="1"/>
  <c r="I749" i="1"/>
  <c r="I750" i="1" a="1"/>
  <c r="I750" i="1"/>
  <c r="I751" i="1" a="1"/>
  <c r="I751" i="1"/>
  <c r="I752" i="1" a="1"/>
  <c r="I752" i="1"/>
  <c r="I753" i="1" a="1"/>
  <c r="I753" i="1"/>
  <c r="I754" i="1" a="1"/>
  <c r="I754" i="1"/>
  <c r="I755" i="1" a="1"/>
  <c r="I755" i="1"/>
  <c r="I756" i="1" a="1"/>
  <c r="I756" i="1"/>
  <c r="I757" i="1" a="1"/>
  <c r="I757" i="1"/>
  <c r="I758" i="1" a="1"/>
  <c r="I758" i="1"/>
  <c r="I759" i="1" a="1"/>
  <c r="I759" i="1"/>
  <c r="I760" i="1" a="1"/>
  <c r="I760" i="1"/>
  <c r="I761" i="1" a="1"/>
  <c r="I761" i="1"/>
  <c r="I762" i="1" a="1"/>
  <c r="I762" i="1"/>
  <c r="I763" i="1" a="1"/>
  <c r="I763" i="1"/>
  <c r="I764" i="1" a="1"/>
  <c r="I764" i="1"/>
  <c r="I765" i="1" a="1"/>
  <c r="I765" i="1"/>
  <c r="I766" i="1" a="1"/>
  <c r="I766" i="1"/>
  <c r="I767" i="1" a="1"/>
  <c r="I767" i="1"/>
  <c r="I768" i="1" a="1"/>
  <c r="I768" i="1"/>
  <c r="I769" i="1" a="1"/>
  <c r="I769" i="1"/>
  <c r="I770" i="1" a="1"/>
  <c r="I770" i="1"/>
  <c r="I771" i="1" a="1"/>
  <c r="I771" i="1"/>
  <c r="I772" i="1" a="1"/>
  <c r="I772" i="1"/>
  <c r="I773" i="1" a="1"/>
  <c r="I773" i="1"/>
  <c r="I774" i="1" a="1"/>
  <c r="I774" i="1"/>
  <c r="I775" i="1" a="1"/>
  <c r="I775" i="1"/>
  <c r="I776" i="1" a="1"/>
  <c r="I776" i="1"/>
  <c r="I777" i="1" a="1"/>
  <c r="I777" i="1"/>
  <c r="I778" i="1" a="1"/>
  <c r="I778" i="1"/>
  <c r="I779" i="1" a="1"/>
  <c r="I779" i="1"/>
  <c r="I780" i="1" a="1"/>
  <c r="I780" i="1"/>
  <c r="I781" i="1" a="1"/>
  <c r="I781" i="1"/>
  <c r="I782" i="1" a="1"/>
  <c r="I782" i="1"/>
  <c r="I783" i="1" a="1"/>
  <c r="I783" i="1"/>
  <c r="I784" i="1" a="1"/>
  <c r="I784" i="1"/>
  <c r="I785" i="1" a="1"/>
  <c r="I785" i="1"/>
  <c r="I786" i="1" a="1"/>
  <c r="I786" i="1"/>
  <c r="I787" i="1" a="1"/>
  <c r="I787" i="1"/>
  <c r="I788" i="1" a="1"/>
  <c r="I788" i="1"/>
  <c r="I789" i="1" a="1"/>
  <c r="I789" i="1"/>
  <c r="I790" i="1" a="1"/>
  <c r="I790" i="1"/>
  <c r="I791" i="1" a="1"/>
  <c r="I791" i="1"/>
  <c r="I792" i="1" a="1"/>
  <c r="I792" i="1"/>
  <c r="I793" i="1" a="1"/>
  <c r="I793" i="1"/>
  <c r="I794" i="1" a="1"/>
  <c r="I794" i="1"/>
  <c r="I795" i="1" a="1"/>
  <c r="I795" i="1"/>
  <c r="I796" i="1" a="1"/>
  <c r="I796" i="1"/>
  <c r="I797" i="1" a="1"/>
  <c r="I797" i="1"/>
  <c r="I798" i="1" a="1"/>
  <c r="I798" i="1"/>
  <c r="I799" i="1" a="1"/>
  <c r="I799" i="1"/>
  <c r="I800" i="1" a="1"/>
  <c r="I800" i="1"/>
  <c r="I801" i="1" a="1"/>
  <c r="I801" i="1"/>
  <c r="I802" i="1" a="1"/>
  <c r="I802" i="1"/>
  <c r="I803" i="1" a="1"/>
  <c r="I803" i="1"/>
  <c r="I804" i="1" a="1"/>
  <c r="I804" i="1"/>
  <c r="I805" i="1" a="1"/>
  <c r="I805" i="1"/>
  <c r="I806" i="1" a="1"/>
  <c r="I806" i="1"/>
  <c r="I807" i="1" a="1"/>
  <c r="I807" i="1"/>
  <c r="I808" i="1" a="1"/>
  <c r="I808" i="1"/>
  <c r="I809" i="1" a="1"/>
  <c r="I809" i="1"/>
  <c r="I810" i="1" a="1"/>
  <c r="I810" i="1"/>
  <c r="I811" i="1" a="1"/>
  <c r="I811" i="1"/>
  <c r="I812" i="1" a="1"/>
  <c r="I812" i="1"/>
  <c r="I813" i="1" a="1"/>
  <c r="I813" i="1"/>
  <c r="I814" i="1" a="1"/>
  <c r="I814" i="1"/>
  <c r="I815" i="1" a="1"/>
  <c r="I815" i="1"/>
  <c r="I816" i="1" a="1"/>
  <c r="I816" i="1"/>
  <c r="I817" i="1" a="1"/>
  <c r="I817" i="1"/>
  <c r="I818" i="1" a="1"/>
  <c r="I818" i="1"/>
  <c r="I819" i="1" a="1"/>
  <c r="I819" i="1"/>
  <c r="I820" i="1" a="1"/>
  <c r="I820" i="1"/>
  <c r="I821" i="1" a="1"/>
  <c r="I821" i="1"/>
  <c r="I822" i="1" a="1"/>
  <c r="I822" i="1"/>
  <c r="I823" i="1" a="1"/>
  <c r="I823" i="1"/>
  <c r="I824" i="1" a="1"/>
  <c r="I824" i="1"/>
  <c r="I825" i="1" a="1"/>
  <c r="I825" i="1"/>
  <c r="I826" i="1" a="1"/>
  <c r="I826" i="1"/>
  <c r="I827" i="1" a="1"/>
  <c r="I827" i="1"/>
  <c r="I828" i="1" a="1"/>
  <c r="I828" i="1"/>
  <c r="I829" i="1" a="1"/>
  <c r="I829" i="1"/>
  <c r="I830" i="1" a="1"/>
  <c r="I830" i="1"/>
  <c r="I831" i="1" a="1"/>
  <c r="I831" i="1"/>
  <c r="I832" i="1" a="1"/>
  <c r="I832" i="1"/>
  <c r="I833" i="1" a="1"/>
  <c r="I833" i="1"/>
  <c r="I834" i="1" a="1"/>
  <c r="I834" i="1"/>
  <c r="I835" i="1" a="1"/>
  <c r="I835" i="1"/>
  <c r="I836" i="1" a="1"/>
  <c r="I836" i="1"/>
  <c r="I837" i="1" a="1"/>
  <c r="I837" i="1"/>
  <c r="I838" i="1" a="1"/>
  <c r="I838" i="1"/>
  <c r="I839" i="1" a="1"/>
  <c r="I839" i="1"/>
  <c r="I840" i="1" a="1"/>
  <c r="I840" i="1"/>
  <c r="I841" i="1" a="1"/>
  <c r="I841" i="1"/>
  <c r="I842" i="1" a="1"/>
  <c r="I842" i="1"/>
  <c r="I843" i="1" a="1"/>
  <c r="I843" i="1"/>
  <c r="I844" i="1" a="1"/>
  <c r="I844" i="1"/>
  <c r="I845" i="1" a="1"/>
  <c r="I845" i="1"/>
  <c r="I846" i="1" a="1"/>
  <c r="I846" i="1"/>
  <c r="I847" i="1" a="1"/>
  <c r="I847" i="1"/>
  <c r="I848" i="1" a="1"/>
  <c r="I848" i="1"/>
  <c r="I849" i="1" a="1"/>
  <c r="I849" i="1"/>
  <c r="I850" i="1" a="1"/>
  <c r="I850" i="1"/>
  <c r="I851" i="1" a="1"/>
  <c r="I851" i="1"/>
  <c r="I852" i="1" a="1"/>
  <c r="I852" i="1"/>
  <c r="I853" i="1" a="1"/>
  <c r="I853" i="1"/>
  <c r="I854" i="1" a="1"/>
  <c r="I854" i="1"/>
  <c r="I855" i="1" a="1"/>
  <c r="I855" i="1"/>
  <c r="I856" i="1" a="1"/>
  <c r="I856" i="1"/>
  <c r="I857" i="1" a="1"/>
  <c r="I857" i="1"/>
  <c r="I858" i="1" a="1"/>
  <c r="I858" i="1"/>
  <c r="I859" i="1" a="1"/>
  <c r="I859" i="1"/>
  <c r="I860" i="1" a="1"/>
  <c r="I860" i="1"/>
  <c r="I861" i="1" a="1"/>
  <c r="I861" i="1"/>
  <c r="I862" i="1" a="1"/>
  <c r="I862" i="1"/>
  <c r="I863" i="1" a="1"/>
  <c r="I863" i="1"/>
  <c r="I864" i="1" a="1"/>
  <c r="I864" i="1"/>
  <c r="I865" i="1" a="1"/>
  <c r="I865" i="1"/>
  <c r="I866" i="1" a="1"/>
  <c r="I866" i="1"/>
  <c r="I867" i="1" a="1"/>
  <c r="I867" i="1"/>
  <c r="I868" i="1" a="1"/>
  <c r="I868" i="1"/>
  <c r="I869" i="1" a="1"/>
  <c r="I869" i="1"/>
  <c r="I870" i="1" a="1"/>
  <c r="I870" i="1"/>
  <c r="I871" i="1" a="1"/>
  <c r="I871" i="1"/>
  <c r="I872" i="1" a="1"/>
  <c r="I872" i="1"/>
  <c r="I873" i="1" a="1"/>
  <c r="I873" i="1"/>
  <c r="I874" i="1" a="1"/>
  <c r="I874" i="1"/>
  <c r="I875" i="1" a="1"/>
  <c r="I875" i="1"/>
  <c r="I876" i="1" a="1"/>
  <c r="I876" i="1"/>
  <c r="I877" i="1" a="1"/>
  <c r="I877" i="1"/>
  <c r="I878" i="1" a="1"/>
  <c r="I878" i="1"/>
  <c r="I879" i="1" a="1"/>
  <c r="I879" i="1"/>
  <c r="I880" i="1" a="1"/>
  <c r="I880" i="1"/>
  <c r="I881" i="1" a="1"/>
  <c r="I881" i="1"/>
  <c r="I882" i="1" a="1"/>
  <c r="I882" i="1"/>
  <c r="I883" i="1" a="1"/>
  <c r="I883" i="1"/>
  <c r="I884" i="1" a="1"/>
  <c r="I884" i="1"/>
  <c r="I885" i="1" a="1"/>
  <c r="I885" i="1"/>
  <c r="I886" i="1" a="1"/>
  <c r="I886" i="1"/>
  <c r="I887" i="1" a="1"/>
  <c r="I887" i="1"/>
  <c r="I888" i="1" a="1"/>
  <c r="I888" i="1"/>
  <c r="I889" i="1" a="1"/>
  <c r="I889" i="1"/>
  <c r="I890" i="1" a="1"/>
  <c r="I890" i="1"/>
  <c r="I891" i="1" a="1"/>
  <c r="I891" i="1"/>
  <c r="I892" i="1" a="1"/>
  <c r="I892" i="1"/>
  <c r="I893" i="1" a="1"/>
  <c r="I893" i="1"/>
  <c r="I894" i="1" a="1"/>
  <c r="I894" i="1"/>
  <c r="I895" i="1" a="1"/>
  <c r="I895" i="1"/>
  <c r="I896" i="1" a="1"/>
  <c r="I896" i="1"/>
  <c r="I897" i="1" a="1"/>
  <c r="I897" i="1"/>
  <c r="I898" i="1" a="1"/>
  <c r="I898" i="1"/>
  <c r="I899" i="1" a="1"/>
  <c r="I899" i="1"/>
  <c r="I900" i="1" a="1"/>
  <c r="I900" i="1"/>
  <c r="I901" i="1" a="1"/>
  <c r="I901" i="1"/>
  <c r="I902" i="1" a="1"/>
  <c r="I902" i="1"/>
  <c r="I903" i="1" a="1"/>
  <c r="I903" i="1"/>
  <c r="I904" i="1" a="1"/>
  <c r="I904" i="1"/>
  <c r="I905" i="1" a="1"/>
  <c r="I905" i="1"/>
  <c r="I906" i="1" a="1"/>
  <c r="I906" i="1"/>
  <c r="I907" i="1" a="1"/>
  <c r="I907" i="1"/>
  <c r="I908" i="1" a="1"/>
  <c r="I908" i="1"/>
  <c r="I909" i="1" a="1"/>
  <c r="I909" i="1"/>
  <c r="I910" i="1" a="1"/>
  <c r="I910" i="1"/>
  <c r="I911" i="1" a="1"/>
  <c r="I911" i="1"/>
  <c r="I912" i="1" a="1"/>
  <c r="I912" i="1"/>
  <c r="I913" i="1" a="1"/>
  <c r="I913" i="1"/>
  <c r="I914" i="1" a="1"/>
  <c r="I914" i="1"/>
  <c r="I915" i="1" a="1"/>
  <c r="I915" i="1"/>
  <c r="I916" i="1" a="1"/>
  <c r="I916" i="1"/>
  <c r="I917" i="1" a="1"/>
  <c r="I917" i="1"/>
  <c r="I918" i="1" a="1"/>
  <c r="I918" i="1"/>
  <c r="I919" i="1" a="1"/>
  <c r="I919" i="1"/>
  <c r="I920" i="1" a="1"/>
  <c r="I920" i="1"/>
  <c r="I921" i="1" a="1"/>
  <c r="I921" i="1"/>
  <c r="I922" i="1" a="1"/>
  <c r="I922" i="1"/>
  <c r="I923" i="1" a="1"/>
  <c r="I923" i="1"/>
  <c r="I924" i="1" a="1"/>
  <c r="I924" i="1"/>
  <c r="I925" i="1" a="1"/>
  <c r="I925" i="1"/>
  <c r="I926" i="1" a="1"/>
  <c r="I926" i="1"/>
  <c r="I927" i="1" a="1"/>
  <c r="I927" i="1"/>
  <c r="I928" i="1" a="1"/>
  <c r="I928" i="1"/>
  <c r="I929" i="1" a="1"/>
  <c r="I929" i="1"/>
  <c r="I930" i="1" a="1"/>
  <c r="I930" i="1"/>
  <c r="I931" i="1" a="1"/>
  <c r="I931" i="1"/>
  <c r="I932" i="1" a="1"/>
  <c r="I932" i="1"/>
  <c r="I933" i="1" a="1"/>
  <c r="I933" i="1"/>
  <c r="I934" i="1" a="1"/>
  <c r="I934" i="1"/>
  <c r="I935" i="1" a="1"/>
  <c r="I935" i="1"/>
  <c r="I936" i="1" a="1"/>
  <c r="I936" i="1"/>
  <c r="I937" i="1" a="1"/>
  <c r="I937" i="1"/>
  <c r="I938" i="1" a="1"/>
  <c r="I938" i="1"/>
  <c r="I939" i="1" a="1"/>
  <c r="I939" i="1"/>
  <c r="I940" i="1" a="1"/>
  <c r="I940" i="1"/>
  <c r="I941" i="1" a="1"/>
  <c r="I941" i="1"/>
  <c r="I942" i="1" a="1"/>
  <c r="I942" i="1"/>
  <c r="I943" i="1" a="1"/>
  <c r="I943" i="1"/>
  <c r="I944" i="1" a="1"/>
  <c r="I944" i="1"/>
  <c r="I945" i="1" a="1"/>
  <c r="I945" i="1"/>
  <c r="I946" i="1" a="1"/>
  <c r="I946" i="1"/>
  <c r="I947" i="1" a="1"/>
  <c r="I947" i="1"/>
  <c r="I948" i="1" a="1"/>
  <c r="I948" i="1"/>
  <c r="I949" i="1" a="1"/>
  <c r="I949" i="1"/>
  <c r="I950" i="1" a="1"/>
  <c r="I950" i="1"/>
  <c r="I951" i="1" a="1"/>
  <c r="I951" i="1"/>
  <c r="I952" i="1" a="1"/>
  <c r="I952" i="1"/>
  <c r="I953" i="1" a="1"/>
  <c r="I953" i="1"/>
  <c r="I954" i="1" a="1"/>
  <c r="I954" i="1"/>
  <c r="I955" i="1" a="1"/>
  <c r="I955" i="1"/>
  <c r="I956" i="1" a="1"/>
  <c r="I956" i="1"/>
  <c r="I957" i="1" a="1"/>
  <c r="I957" i="1"/>
  <c r="I958" i="1" a="1"/>
  <c r="I958" i="1"/>
  <c r="I959" i="1" a="1"/>
  <c r="I959" i="1"/>
  <c r="I960" i="1" a="1"/>
  <c r="I960" i="1"/>
  <c r="I961" i="1" a="1"/>
  <c r="I961" i="1"/>
  <c r="I962" i="1" a="1"/>
  <c r="I962" i="1"/>
  <c r="I963" i="1" a="1"/>
  <c r="I963" i="1"/>
  <c r="I964" i="1" a="1"/>
  <c r="I964" i="1"/>
  <c r="I965" i="1" a="1"/>
  <c r="I965" i="1"/>
  <c r="I966" i="1" a="1"/>
  <c r="I966" i="1"/>
  <c r="I967" i="1" a="1"/>
  <c r="I967" i="1"/>
  <c r="I968" i="1" a="1"/>
  <c r="I968" i="1"/>
  <c r="I969" i="1" a="1"/>
  <c r="I969" i="1"/>
  <c r="I970" i="1" a="1"/>
  <c r="I970" i="1"/>
  <c r="I971" i="1" a="1"/>
  <c r="I971" i="1"/>
  <c r="I972" i="1" a="1"/>
  <c r="I972" i="1"/>
  <c r="I973" i="1" a="1"/>
  <c r="I973" i="1"/>
  <c r="I974" i="1" a="1"/>
  <c r="I974" i="1"/>
  <c r="I975" i="1" a="1"/>
  <c r="I975" i="1"/>
  <c r="I976" i="1" a="1"/>
  <c r="I976" i="1"/>
  <c r="I977" i="1" a="1"/>
  <c r="I977" i="1"/>
  <c r="I978" i="1" a="1"/>
  <c r="I978" i="1"/>
  <c r="I979" i="1" a="1"/>
  <c r="I979" i="1"/>
  <c r="I980" i="1" a="1"/>
  <c r="I980" i="1"/>
  <c r="I981" i="1" a="1"/>
  <c r="I981" i="1"/>
  <c r="I982" i="1" a="1"/>
  <c r="I982" i="1"/>
  <c r="I983" i="1" a="1"/>
  <c r="I983" i="1"/>
  <c r="I984" i="1" a="1"/>
  <c r="I984" i="1"/>
  <c r="I985" i="1" a="1"/>
  <c r="I985" i="1"/>
  <c r="I986" i="1" a="1"/>
  <c r="I986" i="1"/>
  <c r="I987" i="1" a="1"/>
  <c r="I987" i="1"/>
  <c r="I988" i="1" a="1"/>
  <c r="I988" i="1"/>
  <c r="I989" i="1" a="1"/>
  <c r="I989" i="1"/>
  <c r="I990" i="1" a="1"/>
  <c r="I990" i="1"/>
  <c r="I991" i="1" a="1"/>
  <c r="I991" i="1"/>
  <c r="I992" i="1" a="1"/>
  <c r="I992" i="1"/>
  <c r="I993" i="1" a="1"/>
  <c r="I993" i="1"/>
  <c r="I994" i="1" a="1"/>
  <c r="I994" i="1"/>
  <c r="I995" i="1" a="1"/>
  <c r="I995" i="1"/>
  <c r="I996" i="1" a="1"/>
  <c r="I996" i="1"/>
  <c r="I997" i="1" a="1"/>
  <c r="I997" i="1"/>
  <c r="I998" i="1" a="1"/>
  <c r="I998" i="1"/>
  <c r="I999" i="1" a="1"/>
  <c r="I999" i="1"/>
  <c r="I1000" i="1" a="1"/>
  <c r="I1000" i="1"/>
  <c r="I1001" i="1" a="1"/>
  <c r="I1001" i="1"/>
  <c r="I2" i="1" a="1"/>
  <c r="I2" i="1"/>
  <c r="D2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S10" i="1"/>
  <c r="S11" i="1"/>
  <c r="S12" i="1"/>
  <c r="R11" i="1"/>
  <c r="R12" i="1"/>
  <c r="R10" i="1"/>
  <c r="M4" i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M12" i="1"/>
  <c r="N12" i="1" s="1"/>
  <c r="M13" i="1"/>
  <c r="N13" i="1" s="1"/>
  <c r="M14" i="1"/>
  <c r="N14" i="1" s="1"/>
  <c r="M15" i="1"/>
  <c r="N15" i="1" s="1"/>
  <c r="M16" i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M56" i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3" i="1"/>
  <c r="T10" i="1" s="1"/>
  <c r="M2" i="1"/>
  <c r="B2" i="1" s="1"/>
  <c r="N101" i="1" l="1"/>
  <c r="B10" i="2"/>
  <c r="D10" i="2" s="1"/>
  <c r="N90" i="1"/>
  <c r="B9" i="2"/>
  <c r="D9" i="2" s="1"/>
  <c r="N68" i="1"/>
  <c r="B8" i="2"/>
  <c r="D8" i="2" s="1"/>
  <c r="N56" i="1"/>
  <c r="B7" i="2"/>
  <c r="D7" i="2" s="1"/>
  <c r="N55" i="1"/>
  <c r="B6" i="2"/>
  <c r="D6" i="2" s="1"/>
  <c r="N31" i="1"/>
  <c r="B5" i="2"/>
  <c r="D5" i="2" s="1"/>
  <c r="N26" i="1"/>
  <c r="B4" i="2"/>
  <c r="D4" i="2" s="1"/>
  <c r="N16" i="1"/>
  <c r="B3" i="2"/>
  <c r="D3" i="2" s="1"/>
  <c r="N11" i="1"/>
  <c r="B2" i="2" a="1"/>
  <c r="B2" i="2" s="1"/>
  <c r="C16" i="2"/>
  <c r="C13" i="2"/>
  <c r="T12" i="1"/>
  <c r="T9" i="1"/>
  <c r="T11" i="1"/>
  <c r="N2" i="1"/>
  <c r="Q12" i="1"/>
  <c r="Q9" i="1"/>
  <c r="N3" i="1"/>
  <c r="Q10" i="1"/>
  <c r="N4" i="1"/>
  <c r="Q11" i="1"/>
  <c r="D2" i="2" l="1"/>
  <c r="B16" i="2"/>
  <c r="B13" i="2"/>
  <c r="D16" i="2"/>
  <c r="D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<sst xmlns="http://schemas.openxmlformats.org/spreadsheetml/2006/main" count="3068" uniqueCount="1036">
  <si>
    <t>Transaction ID</t>
  </si>
  <si>
    <t>Day</t>
  </si>
  <si>
    <t>Month</t>
  </si>
  <si>
    <t>Year</t>
  </si>
  <si>
    <t>Date</t>
  </si>
  <si>
    <t>Customer ID</t>
  </si>
  <si>
    <t>Gender</t>
  </si>
  <si>
    <t>Age</t>
  </si>
  <si>
    <t>Generation</t>
  </si>
  <si>
    <t>Product Category</t>
  </si>
  <si>
    <t>Quantity</t>
  </si>
  <si>
    <t>Price per Unit</t>
  </si>
  <si>
    <t>Sales</t>
  </si>
  <si>
    <t>Commision 2023</t>
  </si>
  <si>
    <t>CUST001</t>
  </si>
  <si>
    <t>Male</t>
  </si>
  <si>
    <t>Beauty</t>
  </si>
  <si>
    <t>rate%</t>
  </si>
  <si>
    <t>CUST002</t>
  </si>
  <si>
    <t>Female</t>
  </si>
  <si>
    <t>Clothing</t>
  </si>
  <si>
    <t>Commision rate 2023</t>
  </si>
  <si>
    <t>CUST003</t>
  </si>
  <si>
    <t>Electronics</t>
  </si>
  <si>
    <t>CUST004</t>
  </si>
  <si>
    <t>CUST005</t>
  </si>
  <si>
    <t>CUST006</t>
  </si>
  <si>
    <t>CUST007</t>
  </si>
  <si>
    <t>Total Sales</t>
  </si>
  <si>
    <t>Average Sales</t>
  </si>
  <si>
    <t>CUST008</t>
  </si>
  <si>
    <t>All products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</si>
  <si>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</si>
  <si>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</si>
  <si>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</si>
  <si>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</si>
  <si>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</si>
  <si>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</si>
  <si>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</si>
  <si>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</si>
  <si>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</si>
  <si>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</si>
  <si>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</si>
  <si>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</si>
  <si>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</si>
  <si>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</si>
  <si>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</si>
  <si>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</si>
  <si>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</si>
  <si>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</si>
  <si>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</si>
  <si>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</si>
  <si>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</si>
  <si>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</si>
  <si>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</si>
  <si>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</si>
  <si>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</si>
  <si>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</si>
  <si>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</si>
  <si>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</si>
  <si>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</si>
  <si>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</si>
  <si>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</si>
  <si>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</si>
  <si>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</si>
  <si>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</si>
  <si>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</si>
  <si>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</si>
  <si>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</si>
  <si>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</si>
  <si>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</si>
  <si>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</si>
  <si>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</si>
  <si>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</si>
  <si>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</si>
  <si>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</si>
  <si>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</si>
  <si>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</si>
  <si>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</si>
  <si>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</si>
  <si>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</si>
  <si>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</si>
  <si>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</si>
  <si>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</si>
  <si>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</si>
  <si>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</si>
  <si>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</si>
  <si>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</si>
  <si>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</si>
  <si>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</si>
  <si>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</si>
  <si>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</si>
  <si>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</si>
  <si>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</si>
  <si>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</si>
  <si>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</si>
  <si>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</si>
  <si>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</si>
  <si>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</si>
  <si>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</si>
  <si>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</si>
  <si>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</si>
  <si>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</si>
  <si>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</si>
  <si>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</si>
  <si>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</si>
  <si>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</si>
  <si>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</si>
  <si>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</si>
  <si>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</si>
  <si>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</si>
  <si>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</si>
  <si>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</si>
  <si>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</si>
  <si>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</si>
  <si>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</si>
  <si>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</si>
  <si>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</si>
  <si>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</si>
  <si>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</si>
  <si>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</si>
  <si>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</si>
  <si>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</si>
  <si>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</si>
  <si>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</si>
  <si>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</si>
  <si>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</si>
  <si>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</si>
  <si>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</si>
  <si>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</si>
  <si>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</si>
  <si>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</si>
  <si>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</si>
  <si>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</si>
  <si>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</si>
  <si>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</si>
  <si>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</si>
  <si>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</si>
  <si>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</si>
  <si>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</si>
  <si>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</si>
  <si>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</si>
  <si>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</si>
  <si>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</si>
  <si>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</si>
  <si>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</si>
  <si>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</si>
  <si>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</si>
  <si>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</si>
  <si>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</si>
  <si>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</si>
  <si>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</si>
  <si>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</si>
  <si>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</si>
  <si>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</si>
  <si>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</si>
  <si>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</si>
  <si>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</si>
  <si>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</si>
  <si>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</si>
  <si>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</si>
  <si>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</si>
  <si>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</si>
  <si>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</si>
  <si>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</si>
  <si>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</si>
  <si>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</si>
  <si>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</si>
  <si>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</si>
  <si>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</si>
  <si>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</si>
  <si>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</si>
  <si>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</si>
  <si>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</si>
  <si>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</si>
  <si>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</si>
  <si>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</si>
  <si>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</si>
  <si>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</si>
  <si>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</si>
  <si>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</si>
  <si>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</si>
  <si>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</si>
  <si>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</si>
  <si>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</si>
  <si>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</si>
  <si>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</si>
  <si>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</si>
  <si>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</si>
  <si>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</si>
  <si>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</si>
  <si>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</si>
  <si>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</si>
  <si>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</si>
  <si>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</si>
  <si>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</si>
  <si>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</si>
  <si>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</si>
  <si>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</si>
  <si>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</si>
  <si>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</si>
  <si>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</si>
  <si>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</si>
  <si>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</si>
  <si>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</si>
  <si>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</si>
  <si>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</si>
  <si>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</si>
  <si>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</si>
  <si>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</si>
  <si>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</si>
  <si>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</si>
  <si>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</si>
  <si>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</si>
  <si>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</si>
  <si>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</si>
  <si>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</si>
  <si>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</si>
  <si>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</si>
  <si>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</si>
  <si>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</si>
  <si>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</si>
  <si>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</si>
  <si>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</si>
  <si>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</si>
  <si>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</si>
  <si>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</si>
  <si>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</si>
  <si>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</si>
  <si>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</si>
  <si>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</si>
  <si>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</si>
  <si>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</si>
  <si>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</si>
  <si>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</si>
  <si>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</si>
  <si>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</si>
  <si>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</si>
  <si>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</si>
  <si>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</si>
  <si>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</si>
  <si>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</si>
  <si>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</si>
  <si>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</si>
  <si>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</si>
  <si>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</si>
  <si>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</si>
  <si>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</si>
  <si>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</si>
  <si>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</si>
  <si>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</si>
  <si>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</si>
  <si>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</si>
  <si>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</si>
  <si>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</si>
  <si>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</si>
  <si>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</si>
  <si>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</si>
  <si>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</si>
  <si>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</si>
  <si>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</si>
  <si>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</si>
  <si>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</si>
  <si>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</si>
  <si>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</si>
  <si>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</si>
  <si>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</si>
  <si>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</si>
  <si>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</si>
  <si>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</si>
  <si>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</si>
  <si>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</si>
  <si>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</si>
  <si>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</si>
  <si>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</si>
  <si>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</si>
  <si>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</si>
  <si>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</si>
  <si>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</si>
  <si>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</si>
  <si>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</si>
  <si>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</si>
  <si>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</si>
  <si>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</si>
  <si>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</si>
  <si>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</si>
  <si>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</si>
  <si>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</si>
  <si>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</si>
  <si>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</si>
  <si>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</si>
  <si>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</si>
  <si>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</si>
  <si>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</si>
  <si>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</si>
  <si>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</si>
  <si>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</si>
  <si>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</si>
  <si>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</si>
  <si>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</si>
  <si>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</si>
  <si>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</si>
  <si>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</si>
  <si>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</si>
  <si>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</si>
  <si>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</si>
  <si>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</si>
  <si>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</si>
  <si>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</si>
  <si>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</si>
  <si>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</si>
  <si>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</si>
  <si>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</si>
  <si>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</si>
  <si>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</si>
  <si>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</si>
  <si>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</si>
  <si>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</si>
  <si>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</si>
  <si>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</si>
  <si>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</si>
  <si>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</si>
  <si>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</si>
  <si>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</si>
  <si>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</si>
  <si>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</si>
  <si>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</si>
  <si>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</si>
  <si>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</si>
  <si>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</si>
  <si>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</si>
  <si>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</si>
  <si>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</si>
  <si>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</si>
  <si>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</si>
  <si>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</si>
  <si>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</si>
  <si>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</si>
  <si>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</si>
  <si>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</si>
  <si>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</si>
  <si>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</si>
  <si>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</si>
  <si>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</si>
  <si>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</si>
  <si>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</si>
  <si>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</si>
  <si>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</si>
  <si>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</si>
  <si>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</si>
  <si>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</si>
  <si>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</si>
  <si>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</si>
  <si>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</si>
  <si>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</si>
  <si>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</si>
  <si>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</si>
  <si>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</si>
  <si>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</si>
  <si>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</si>
  <si>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</si>
  <si>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</si>
  <si>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</si>
  <si>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</si>
  <si>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</si>
  <si>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</si>
  <si>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</si>
  <si>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</si>
  <si>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</si>
  <si>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</si>
  <si>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</si>
  <si>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</si>
  <si>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</si>
  <si>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</si>
  <si>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</si>
  <si>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</si>
  <si>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</si>
  <si>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</si>
  <si>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</si>
  <si>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</si>
  <si>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</si>
  <si>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</si>
  <si>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</si>
  <si>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</si>
  <si>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</si>
  <si>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</si>
  <si>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</si>
  <si>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</si>
  <si>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</si>
  <si>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</si>
  <si>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</si>
  <si>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</si>
  <si>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</si>
  <si>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</si>
  <si>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</si>
  <si>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</si>
  <si>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</si>
  <si>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</si>
  <si>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</si>
  <si>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</si>
  <si>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</si>
  <si>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</si>
  <si>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</si>
  <si>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</si>
  <si>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</si>
  <si>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</si>
  <si>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</si>
  <si>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</si>
  <si>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</si>
  <si>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</si>
  <si>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</si>
  <si>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</si>
  <si>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</si>
  <si>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</si>
  <si>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</si>
  <si>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</si>
  <si>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</si>
  <si>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</si>
  <si>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</si>
  <si>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</si>
  <si>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</si>
  <si>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</si>
  <si>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</si>
  <si>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</si>
  <si>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</si>
  <si>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</si>
  <si>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</si>
  <si>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</si>
  <si>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</si>
  <si>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</si>
  <si>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</si>
  <si>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</si>
  <si>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</si>
  <si>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</si>
  <si>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</si>
  <si>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</si>
  <si>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</si>
  <si>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</si>
  <si>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</si>
  <si>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</si>
  <si>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</si>
  <si>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</si>
  <si>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</si>
  <si>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</si>
  <si>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</si>
  <si>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</si>
  <si>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</si>
  <si>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</si>
  <si>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</si>
  <si>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</si>
  <si>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</si>
  <si>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</si>
  <si>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</si>
  <si>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</si>
  <si>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</si>
  <si>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</si>
  <si>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</si>
  <si>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</si>
  <si>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</si>
  <si>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</si>
  <si>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</si>
  <si>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</si>
  <si>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</si>
  <si>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</si>
  <si>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</si>
  <si>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</si>
  <si>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</si>
  <si>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</si>
  <si>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</si>
  <si>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</si>
  <si>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</si>
  <si>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</si>
  <si>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</si>
  <si>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</si>
  <si>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</si>
  <si>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</si>
  <si>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</si>
  <si>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</si>
  <si>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</si>
  <si>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</si>
  <si>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</si>
  <si>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</si>
  <si>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</si>
  <si>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</si>
  <si>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</si>
  <si>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</si>
  <si>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</si>
  <si>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</si>
  <si>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</si>
  <si>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</si>
  <si>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</si>
  <si>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</si>
  <si>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</si>
  <si>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</si>
  <si>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</si>
  <si>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</si>
  <si>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</si>
  <si>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</si>
  <si>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</si>
  <si>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</si>
  <si>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</si>
  <si>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</si>
  <si>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</si>
  <si>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</si>
  <si>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</si>
  <si>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</si>
  <si>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</si>
  <si>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</si>
  <si>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</si>
  <si>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</si>
  <si>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</si>
  <si>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</si>
  <si>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</si>
  <si>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</si>
  <si>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</si>
  <si>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</si>
  <si>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</si>
  <si>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</si>
  <si>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</si>
  <si>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</si>
  <si>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</si>
  <si>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</si>
  <si>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</si>
  <si>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</si>
  <si>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</si>
  <si>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</si>
  <si>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</si>
  <si>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</si>
  <si>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</si>
  <si>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</si>
  <si>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</si>
  <si>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</si>
  <si>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</si>
  <si>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</si>
  <si>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</si>
  <si>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</si>
  <si>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</si>
  <si>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</si>
  <si>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</si>
  <si>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</si>
  <si>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</si>
  <si>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</si>
  <si>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</si>
  <si>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</si>
  <si>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</si>
  <si>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</si>
  <si>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</si>
  <si>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</si>
  <si>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</si>
  <si>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</si>
  <si>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</si>
  <si>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</si>
  <si>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</si>
  <si>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</si>
  <si>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</si>
  <si>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</si>
  <si>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</si>
  <si>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</si>
  <si>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</si>
  <si>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</si>
  <si>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</si>
  <si>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</si>
  <si>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</si>
  <si>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</si>
  <si>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</si>
  <si>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</si>
  <si>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</si>
  <si>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</si>
  <si>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</si>
  <si>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</si>
  <si>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</si>
  <si>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</si>
  <si>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</si>
  <si>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</si>
  <si>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</si>
  <si>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</si>
  <si>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</si>
  <si>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</si>
  <si>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</si>
  <si>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</si>
  <si>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</si>
  <si>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</si>
  <si>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</si>
  <si>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</si>
  <si>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</si>
  <si>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</si>
  <si>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</si>
  <si>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</si>
  <si>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</si>
  <si>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</si>
  <si>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</si>
  <si>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</si>
  <si>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</si>
  <si>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</si>
  <si>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</si>
  <si>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</si>
  <si>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</si>
  <si>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</si>
  <si>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</si>
  <si>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</si>
  <si>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</si>
  <si>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</si>
  <si>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</si>
  <si>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</si>
  <si>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</si>
  <si>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</si>
  <si>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</si>
  <si>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</si>
  <si>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</si>
  <si>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</si>
  <si>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</si>
  <si>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</si>
  <si>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</si>
  <si>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</si>
  <si>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</si>
  <si>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</si>
  <si>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</si>
  <si>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</si>
  <si>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</si>
  <si>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</si>
  <si>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</si>
  <si>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</si>
  <si>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</si>
  <si>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</si>
  <si>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</si>
  <si>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</si>
  <si>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</si>
  <si>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</si>
  <si>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</si>
  <si>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</si>
  <si>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</si>
  <si>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</si>
  <si>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</si>
  <si>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</si>
  <si>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</si>
  <si>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</si>
  <si>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</si>
  <si>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</si>
  <si>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</si>
  <si>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</si>
  <si>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</si>
  <si>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</si>
  <si>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</si>
  <si>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</si>
  <si>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</si>
  <si>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</si>
  <si>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</si>
  <si>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</si>
  <si>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</si>
  <si>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</si>
  <si>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</si>
  <si>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</si>
  <si>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</si>
  <si>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</si>
  <si>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</si>
  <si>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</si>
  <si>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</si>
  <si>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</si>
  <si>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</si>
  <si>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</si>
  <si>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</si>
  <si>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</si>
  <si>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</si>
  <si>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</si>
  <si>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</si>
  <si>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</si>
  <si>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</si>
  <si>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</si>
  <si>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</si>
  <si>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</si>
  <si>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</si>
  <si>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</si>
  <si>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</si>
  <si>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</si>
  <si>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</si>
  <si>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</si>
  <si>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</si>
  <si>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</si>
  <si>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</si>
  <si>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</si>
  <si>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</si>
  <si>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</si>
  <si>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</si>
  <si>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</si>
  <si>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</si>
  <si>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</si>
  <si>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</si>
  <si>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</si>
  <si>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</si>
  <si>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</si>
  <si>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</si>
  <si>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</si>
  <si>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</si>
  <si>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</si>
  <si>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</si>
  <si>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</si>
  <si>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</si>
  <si>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</si>
  <si>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</si>
  <si>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</si>
  <si>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</si>
  <si>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</si>
  <si>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</si>
  <si>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</si>
  <si>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</si>
  <si>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</si>
  <si>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</si>
  <si>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</si>
  <si>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</si>
  <si>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</si>
  <si>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</si>
  <si>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</si>
  <si>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</si>
  <si>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</si>
  <si>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</si>
  <si>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</si>
  <si>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</si>
  <si>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</si>
  <si>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</si>
  <si>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</si>
  <si>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</si>
  <si>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</si>
  <si>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</si>
  <si>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</si>
  <si>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</si>
  <si>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</si>
  <si>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</si>
  <si>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</si>
  <si>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</si>
  <si>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</si>
  <si>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</si>
  <si>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</si>
  <si>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</si>
  <si>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</si>
  <si>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</si>
  <si>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</si>
  <si>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</si>
  <si>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</si>
  <si>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</si>
  <si>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</si>
  <si>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</si>
  <si>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</si>
  <si>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</si>
  <si>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</si>
  <si>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</si>
  <si>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</si>
  <si>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</si>
  <si>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</si>
  <si>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</si>
  <si>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</si>
  <si>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</si>
  <si>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</si>
  <si>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</si>
  <si>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</si>
  <si>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</si>
  <si>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</si>
  <si>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</si>
  <si>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</si>
  <si>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</si>
  <si>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</si>
  <si>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</si>
  <si>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</si>
  <si>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</si>
  <si>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</si>
  <si>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</si>
  <si>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</si>
  <si>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</si>
  <si>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</si>
  <si>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</si>
  <si>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</si>
  <si>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</si>
  <si>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</si>
  <si>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</si>
  <si>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</si>
  <si>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</si>
  <si>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</si>
  <si>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</si>
  <si>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</si>
  <si>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</si>
  <si>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</si>
  <si>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</si>
  <si>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</si>
  <si>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</si>
  <si>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</si>
  <si>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</si>
  <si>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</si>
  <si>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</si>
  <si>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</si>
  <si>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</si>
  <si>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</si>
  <si>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</si>
  <si>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</si>
  <si>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</si>
  <si>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</si>
  <si>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</si>
  <si>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</si>
  <si>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</si>
  <si>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</si>
  <si>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</si>
  <si>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</si>
  <si>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</si>
  <si>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</si>
  <si>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</si>
  <si>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</si>
  <si>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</si>
  <si>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</si>
  <si>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</si>
  <si>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</si>
  <si>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</si>
  <si>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</si>
  <si>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</si>
  <si>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</si>
  <si>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</si>
  <si>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</si>
  <si>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</si>
  <si>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</si>
  <si>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</si>
  <si>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</si>
  <si>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</si>
  <si>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</si>
  <si>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</si>
  <si>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</si>
  <si>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</si>
  <si>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</si>
  <si>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</si>
  <si>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</si>
  <si>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</si>
  <si>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</si>
  <si>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</si>
  <si>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</si>
  <si>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</si>
  <si>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</si>
  <si>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</si>
  <si>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</si>
  <si>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</si>
  <si>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</si>
  <si>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</si>
  <si>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</si>
  <si>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</si>
  <si>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</si>
  <si>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</si>
  <si>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</si>
  <si>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</si>
  <si>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</si>
  <si>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</si>
  <si>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</si>
  <si>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</si>
  <si>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</si>
  <si>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</si>
  <si>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</si>
  <si>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</si>
  <si>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</si>
  <si>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</si>
  <si>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</si>
  <si>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</si>
  <si>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</si>
  <si>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</si>
  <si>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</si>
  <si>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</si>
  <si>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</si>
  <si>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</si>
  <si>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</si>
  <si>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</si>
  <si>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</si>
  <si>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</si>
  <si>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</si>
  <si>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</si>
  <si>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</si>
  <si>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</si>
  <si>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</si>
  <si>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</si>
  <si>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</si>
  <si>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</si>
  <si>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</si>
  <si>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</si>
  <si>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</si>
  <si>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</si>
  <si>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</si>
  <si>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</si>
  <si>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</si>
  <si>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</si>
  <si>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</si>
  <si>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</si>
  <si>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</si>
  <si>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</si>
  <si>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</si>
  <si>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</si>
  <si>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</si>
  <si>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</si>
  <si>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</si>
  <si>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</si>
  <si>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</si>
  <si>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</si>
  <si>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</si>
  <si>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</si>
  <si>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</si>
  <si>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</si>
  <si>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</si>
  <si>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</si>
  <si>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</si>
  <si>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</si>
  <si>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</si>
  <si>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</si>
  <si>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</si>
  <si>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</si>
  <si>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</si>
  <si>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</si>
  <si>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</si>
  <si>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</si>
  <si>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</si>
  <si>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</si>
  <si>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</si>
  <si>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</si>
  <si>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</si>
  <si>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</si>
  <si>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</si>
  <si>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</si>
  <si>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</si>
  <si>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</si>
  <si>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</si>
  <si>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</si>
  <si>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</si>
  <si>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</si>
  <si>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</si>
  <si>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</si>
  <si>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</si>
  <si>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</si>
  <si>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</si>
  <si>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</si>
  <si>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</si>
  <si>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</si>
  <si>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</si>
  <si>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</si>
  <si>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</si>
  <si>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</si>
  <si>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</si>
  <si>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</si>
  <si>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</si>
  <si>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</si>
  <si>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</si>
  <si>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</si>
  <si>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</si>
  <si>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</si>
  <si>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</si>
  <si>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</si>
  <si>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</si>
  <si>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</si>
  <si>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</si>
  <si>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</si>
  <si>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</si>
  <si>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</si>
  <si>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</si>
  <si>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</si>
  <si>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</si>
  <si>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</si>
  <si>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</si>
  <si>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</si>
  <si>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</si>
  <si>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</si>
  <si>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</si>
  <si>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</si>
  <si>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</si>
  <si>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</si>
  <si>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</si>
  <si>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</si>
  <si>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</si>
  <si>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</si>
  <si>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</si>
  <si>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</si>
  <si>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</si>
  <si>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</si>
  <si>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</si>
  <si>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</si>
  <si>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</si>
  <si>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</si>
  <si>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</si>
  <si>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</si>
  <si>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</si>
  <si>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</si>
  <si>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</si>
  <si>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</si>
  <si>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</si>
  <si>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</si>
  <si>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</si>
  <si>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</si>
  <si>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</si>
  <si>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</si>
  <si>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</si>
  <si>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</si>
  <si>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</si>
  <si>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</si>
  <si>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</si>
  <si>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</si>
  <si>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</si>
  <si>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</si>
  <si>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</si>
  <si>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</si>
  <si>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</si>
  <si>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</si>
  <si>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</si>
  <si>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</si>
  <si>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</si>
  <si>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</si>
  <si>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</si>
  <si>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</si>
  <si>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</si>
  <si>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</si>
  <si>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</si>
  <si>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</si>
  <si>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</si>
  <si>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</si>
  <si>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</si>
  <si>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</si>
  <si>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</si>
  <si>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</si>
  <si>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</si>
  <si>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</si>
  <si>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</si>
  <si>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</si>
  <si>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</si>
  <si>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</si>
  <si>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</si>
  <si>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</si>
  <si>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</si>
  <si>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</si>
  <si>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Concatenate</t>
  </si>
  <si>
    <t>count(a2:a1) - number of cells that contain numbers</t>
  </si>
  <si>
    <t>counta(a2:a10) - number of cells that are not empty</t>
  </si>
  <si>
    <t>Sum of Sales</t>
  </si>
  <si>
    <t>Grand Total</t>
  </si>
  <si>
    <t>Young Adult</t>
  </si>
  <si>
    <t>Young Adult Total</t>
  </si>
  <si>
    <t>Adult</t>
  </si>
  <si>
    <t>Adult Total</t>
  </si>
  <si>
    <t>Senior</t>
  </si>
  <si>
    <t>Senior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</si>
</sst>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dd/mm/yyyy;@"/>
  </numFmts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applyFont="1"/>
    <xf numFmtId="0" fontId="0" fillId="0" borderId="13" xfId="0" applyBorder="1"/>
    <xf numFmtId="14" fontId="0" fillId="0" borderId="14" xfId="0" applyNumberFormat="1" applyBorder="1"/>
    <xf numFmtId="0" fontId="0" fillId="0" borderId="14" xfId="0" applyBorder="1"/>
    <xf numFmtId="0" fontId="0" fillId="0" borderId="1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0" fontId="0" fillId="0" borderId="0" xfId="0" applyNumberFormat="1"/>
    <xf numFmtId="164" fontId="18" fillId="0" borderId="15" xfId="0" applyNumberFormat="1" applyFont="1" applyBorder="1"/>
    <xf numFmtId="164" fontId="0" fillId="0" borderId="15" xfId="0" applyNumberFormat="1" applyBorder="1"/>
    <xf numFmtId="164" fontId="0" fillId="0" borderId="0" xfId="0" applyNumberFormat="1"/>
    <xf numFmtId="165" fontId="18" fillId="0" borderId="14" xfId="0" applyNumberFormat="1" applyFont="1" applyBorder="1"/>
    <xf numFmtId="165" fontId="0" fillId="0" borderId="14" xfId="0" applyNumberFormat="1" applyBorder="1"/>
    <xf numFmtId="165" fontId="0" fillId="0" borderId="0" xfId="0" applyNumberFormat="1"/>
    <xf numFmtId="165" fontId="0" fillId="0" borderId="11" xfId="0" applyNumberFormat="1" applyBorder="1"/>
    <xf numFmtId="0" fontId="16" fillId="33" borderId="0" xfId="0" applyFont="1" applyFill="1"/>
    <xf numFmtId="0" fontId="16" fillId="33" borderId="0" xfId="0" applyFont="1" applyFill="1" applyAlignment="1">
      <alignment horizontal="center" vertical="center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schemas.openxmlformats.org/officeDocument/2006/relationships/theme" Target="theme/theme1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 June 2026 retail_sales_dataset_Master - Copy.xlsx]Q2 Sales by Gender and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Gender and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'Q2 Sales by Gender and Category'!$B$2:$B$3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Gender and Category'!$B$4:$B$7</c:f>
              <c:numCache>
                <c:formatCode>0.00%</c:formatCode>
                <c:ptCount val="3"/>
                <c:pt idx="0">
                  <c:v>0.16410087719298247</c:v>
                </c:pt>
                <c:pt idx="1">
                  <c:v>0.17823464912280701</c:v>
                </c:pt>
                <c:pt idx="2">
                  <c:v>0.16827850877192982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C-4785-9538-03BA95FFD6F4}"/>
            </c:ext>
          </c:extLst>
        </c:ser>
        <c:ser>
          <c:idx val="1"/>
          <c:order val="1"/>
          <c:tx>
            <c:strRef>
              <c:f>'Q2 Sales by Gender and Category'!$C$2:$C$3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'Q2 Sales by Gender and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'Q2 Sales by Gender and Category'!$C$4:$C$7</c:f>
              <c:numCache>
                <c:formatCode>0.00%</c:formatCode>
                <c:ptCount val="3"/>
                <c:pt idx="0">
                  <c:v>0.15062500000000001</c:v>
                </c:pt>
                <c:pt idx="1">
                  <c:v>0.16294956140350877</c:v>
                </c:pt>
                <c:pt idx="2">
                  <c:v>0.17581140350877192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F9C-4785-9538-03BA95FFD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881032"/>
        <c:axId val="1330883080"/>
      </c:barChart>
      <c:catAx>
        <c:axId val="13308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83080"/>
        <c:crosses val="autoZero"/>
        <c:auto val="1"/>
        <c:lblAlgn val="ctr"/>
        <c:lblOffset val="100"/>
        <c:noMultiLvlLbl val="0"/>
      </c:catAx>
      <c:valAx>
        <c:axId val="13308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8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[Yusuf June 2026 retail_sales_dataset_Master - Copy.xlsx]Q3 Sales by Generation and Cat!PivotTable3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'Q3 Sales by Generation and Cat'!$B$2:$B$4</c:f>
              <c:strCache>
                <c:ptCount val="1"/>
                <c:pt idx="0">
                  <c:v>Young Adult - 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Cat'!$B$5:$B$8</c:f>
              <c:numCache>
                <c:formatCode>General</c:formatCode>
                <c:ptCount val="3"/>
                <c:pt idx="0">
                  <c:v>19655</c:v>
                </c:pt>
                <c:pt idx="1">
                  <c:v>24220</c:v>
                </c:pt>
                <c:pt idx="2">
                  <c:v>19650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2-4D80-AB9B-6A67705F6482}"/>
            </c:ext>
          </c:extLst>
        </c:ser>
        <c:ser>
          <c:idx val="1"/>
          <c:order val="1"/>
          <c:tx>
            <c:strRef>
              <c:f>'Q3 Sales by Generation and Cat'!$C$2:$C$4</c:f>
              <c:strCache>
                <c:ptCount val="1"/>
                <c:pt idx="0">
                  <c:v>Young Adult - Male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Cat'!$C$5:$C$8</c:f>
              <c:numCache>
                <c:formatCode>General</c:formatCode>
                <c:ptCount val="3"/>
                <c:pt idx="0">
                  <c:v>15950</c:v>
                </c:pt>
                <c:pt idx="1">
                  <c:v>21930</c:v>
                </c:pt>
                <c:pt idx="2">
                  <c:v>21750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8822-4D80-AB9B-6A67705F6482}"/>
            </c:ext>
          </c:extLst>
        </c:ser>
        <c:ser>
          <c:idx val="2"/>
          <c:order val="2"/>
          <c:tx>
            <c:strRef>
              <c:f>'Q3 Sales by Generation and Cat'!$E$2:$E$4</c:f>
              <c:strCache>
                <c:ptCount val="1"/>
                <c:pt idx="0">
                  <c:v>Adult - 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Cat'!$E$5:$E$8</c:f>
              <c:numCache>
                <c:formatCode>General</c:formatCode>
                <c:ptCount val="3"/>
                <c:pt idx="0">
                  <c:v>30410</c:v>
                </c:pt>
                <c:pt idx="1">
                  <c:v>31970</c:v>
                </c:pt>
                <c:pt idx="2">
                  <c:v>35170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8822-4D80-AB9B-6A67705F6482}"/>
            </c:ext>
          </c:extLst>
        </c:ser>
        <c:ser>
          <c:idx val="3"/>
          <c:order val="3"/>
          <c:tx>
            <c:strRef>
              <c:f>'Q3 Sales by Generation and Cat'!$F$2:$F$4</c:f>
              <c:strCache>
                <c:ptCount val="1"/>
                <c:pt idx="0">
                  <c:v>Adult - 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Cat'!$F$5:$F$8</c:f>
              <c:numCache>
                <c:formatCode>General</c:formatCode>
                <c:ptCount val="3"/>
                <c:pt idx="0">
                  <c:v>28890</c:v>
                </c:pt>
                <c:pt idx="1">
                  <c:v>30390</c:v>
                </c:pt>
                <c:pt idx="2">
                  <c:v>32860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8822-4D80-AB9B-6A67705F6482}"/>
            </c:ext>
          </c:extLst>
        </c:ser>
        <c:ser>
          <c:idx val="4"/>
          <c:order val="4"/>
          <c:tx>
            <c:strRef>
              <c:f>'Q3 Sales by Generation and Cat'!$H$2:$H$4</c:f>
              <c:strCache>
                <c:ptCount val="1"/>
                <c:pt idx="0">
                  <c:v>Senior - Female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Cat'!$H$5:$H$8</c:f>
              <c:numCache>
                <c:formatCode>General</c:formatCode>
                <c:ptCount val="3"/>
                <c:pt idx="0">
                  <c:v>26670</c:v>
                </c:pt>
                <c:pt idx="1">
                  <c:v>25085</c:v>
                </c:pt>
                <c:pt idx="2">
                  <c:v>20010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8822-4D80-AB9B-6A67705F6482}"/>
            </c:ext>
          </c:extLst>
        </c:ser>
        <c:ser>
          <c:idx val="5"/>
          <c:order val="5"/>
          <c:tx>
            <c:strRef>
              <c:f>'Q3 Sales by Generation and Cat'!$I$2:$I$4</c:f>
              <c:strCache>
                <c:ptCount val="1"/>
                <c:pt idx="0">
                  <c:v>Senior - Male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'Q3 Sales by Generation and Cat'!$A$5:$A$8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</c:strCache>
            </c:strRef>
          </c:cat>
          <c:val>
            <c:numRef>
              <c:f>'Q3 Sales by Generation and Cat'!$I$5:$I$8</c:f>
              <c:numCache>
                <c:formatCode>General</c:formatCode>
                <c:ptCount val="3"/>
                <c:pt idx="0">
                  <c:v>35330</c:v>
                </c:pt>
                <c:pt idx="1">
                  <c:v>21985</c:v>
                </c:pt>
                <c:pt idx="2">
                  <c:v>14075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8822-4D80-AB9B-6A67705F6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0840584"/>
        <c:axId val="1330891784"/>
      </c:barChart>
      <c:catAx>
        <c:axId val="133084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91784"/>
        <c:crosses val="autoZero"/>
        <c:auto val="1"/>
        <c:lblAlgn val="ctr"/>
        <c:lblOffset val="100"/>
        <c:noMultiLvlLbl val="0"/>
      </c:catAx>
      <c:valAx>
        <c:axId val="1330891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8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676275</xdr:colOff>
      <xdr:row>1</xdr:row>
      <xdr:rowOff>152400</xdr:rowOff>
    </xdr:from>
    <xdr:to>
      <xdr:col>8</xdr:col>
      <xdr:colOff>85725</xdr:colOff>
      <xdr:row>15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88AFBE-0785-9C31-CA91-C415346FA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</xdr:row>
      <xdr:rowOff>142875</xdr:rowOff>
    </xdr:from>
    <xdr:to>
      <xdr:col>5</xdr:col>
      <xdr:colOff>28575</xdr:colOff>
      <xdr:row>23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1ED94B-9B6C-A534-D4A3-28A43784B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104775</xdr:colOff>
      <xdr:row>1</xdr:row>
      <xdr:rowOff>0</xdr:rowOff>
    </xdr:from>
    <xdr:to>
      <xdr:col>14</xdr:col>
      <xdr:colOff>333375</xdr:colOff>
      <xdr:row>14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Gender">
              <a:extLst>
                <a:ext uri="{FF2B5EF4-FFF2-40B4-BE49-F238E27FC236}">
                  <a16:creationId xmlns:a16="http://schemas.microsoft.com/office/drawing/2014/main" id="{450376A8-233F-68C4-E8F2-1320EC3E30A5}"/>
                </a:ext>
                <a:ext uri="{147F2762-F138-4A5C-976F-8EAC2B608ADB}">
                  <a16:predDERef xmlns:a16="http://schemas.microsoft.com/office/drawing/2014/main" pred="{751ED94B-9B6C-A534-D4A3-28A43784BA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29825" y="2000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66675</xdr:colOff>
      <xdr:row>11</xdr:row>
      <xdr:rowOff>171450</xdr:rowOff>
    </xdr:from>
    <xdr:to>
      <xdr:col>8</xdr:col>
      <xdr:colOff>428625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Generation">
              <a:extLst>
                <a:ext uri="{FF2B5EF4-FFF2-40B4-BE49-F238E27FC236}">
                  <a16:creationId xmlns:a16="http://schemas.microsoft.com/office/drawing/2014/main" id="{976C06BE-0100-3E44-60B9-783E217C6C1F}"/>
                </a:ext>
                <a:ext uri="{147F2762-F138-4A5C-976F-8EAC2B608ADB}">
                  <a16:predDERef xmlns:a16="http://schemas.microsoft.com/office/drawing/2014/main" pred="{450376A8-233F-68C4-E8F2-1320EC3E30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23717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581025</xdr:colOff>
      <xdr:row>11</xdr:row>
      <xdr:rowOff>171450</xdr:rowOff>
    </xdr:from>
    <xdr:to>
      <xdr:col>11</xdr:col>
      <xdr:colOff>200025</xdr:colOff>
      <xdr:row>25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roduct Category">
              <a:extLst>
                <a:ext uri="{FF2B5EF4-FFF2-40B4-BE49-F238E27FC236}">
                  <a16:creationId xmlns:a16="http://schemas.microsoft.com/office/drawing/2014/main" id="{A48129E7-C01D-E091-F233-93936B3272BF}"/>
                </a:ext>
                <a:ext uri="{147F2762-F138-4A5C-976F-8EAC2B608ADB}">
                  <a16:predDERef xmlns:a16="http://schemas.microsoft.com/office/drawing/2014/main" pred="{976C06BE-0100-3E44-60B9-783E217C6C1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01025" y="2867025"/>
              <a:ext cx="1952625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04.481188425925" createdVersion="8" refreshedVersion="8" minRefreshableVersion="3" recordCount="1000" xr:uid="{67F675A5-7E93-4685-99A5-644210B3CD56}">
  <cacheSource type="worksheet">
    <worksheetSource ref="A1:N1001" sheet="retail_sales_dataset"/>
  </cacheSource>
  <cacheFields count="14">
    <cacheField name="Transaction ID" numFmtId="0">
      <sharedItems containsSemiMixedTypes="0" containsString="0" containsNumber="1" containsInteger="1" minValue="1" maxValue="1000"/>
    </cacheField>
    <cacheField name="Day" numFmtId="0">
      <sharedItems containsSemiMixedTypes="0" containsString="0" containsNumber="1" containsInteger="1" minValue="1" maxValue="150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4"/>
    </cacheField>
    <cacheField name="Date" numFmtId="0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Generation" numFmtId="0">
      <sharedItems count="3">
        <s v="Adult"/>
        <s v="Young Adult"/>
        <s v="Senior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Sales" numFmtId="0">
      <sharedItems containsSemiMixedTypes="0" containsString="0" containsNumber="1" containsInteger="1" minValue="25" maxValue="2000"/>
    </cacheField>
    <cacheField name="Commision 2023" numFmtId="164">
      <sharedItems containsSemiMixedTypes="0" containsString="0" containsNumber="1" minValue="0.375" maxValue="30"/>
    </cacheField>
  </cacheFields>
  <extLst>
    <ext xmlns:x14="http://schemas.microsoft.com/office/spreadsheetml/2009/9/main" uri="{725AE2AE-9491-48be-B2B4-4EB974FC3084}">
      <x14:pivotCacheDefinition pivotCacheId="4088350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n v="150"/>
    <n v="11"/>
    <n v="2023"/>
    <d v="2023-11-24T00:00:00"/>
    <s v="CUST001"/>
    <x v="0"/>
    <x v="0"/>
    <x v="0"/>
    <x v="0"/>
    <n v="3"/>
    <n v="50"/>
    <n v="150"/>
    <n v="2.25"/>
  </r>
  <r>
    <n v="2"/>
    <n v="27"/>
    <n v="2"/>
    <n v="2023"/>
    <d v="2023-02-27T00:00:00"/>
    <s v="CUST002"/>
    <x v="1"/>
    <x v="1"/>
    <x v="1"/>
    <x v="1"/>
    <n v="2"/>
    <n v="500"/>
    <n v="1000"/>
    <n v="15"/>
  </r>
  <r>
    <n v="3"/>
    <n v="13"/>
    <n v="1"/>
    <n v="2023"/>
    <d v="2023-01-13T00:00:00"/>
    <s v="CUST003"/>
    <x v="0"/>
    <x v="2"/>
    <x v="2"/>
    <x v="2"/>
    <n v="1"/>
    <n v="30"/>
    <n v="30"/>
    <n v="0.44999999999999996"/>
  </r>
  <r>
    <n v="4"/>
    <n v="21"/>
    <n v="5"/>
    <n v="2023"/>
    <d v="2023-05-21T00:00:00"/>
    <s v="CUST004"/>
    <x v="0"/>
    <x v="3"/>
    <x v="0"/>
    <x v="1"/>
    <n v="1"/>
    <n v="500"/>
    <n v="500"/>
    <n v="7.5"/>
  </r>
  <r>
    <n v="5"/>
    <n v="6"/>
    <n v="5"/>
    <n v="2023"/>
    <d v="2023-05-06T00:00:00"/>
    <s v="CUST005"/>
    <x v="0"/>
    <x v="4"/>
    <x v="0"/>
    <x v="0"/>
    <n v="2"/>
    <n v="50"/>
    <n v="100"/>
    <n v="1.5"/>
  </r>
  <r>
    <n v="6"/>
    <n v="25"/>
    <n v="4"/>
    <n v="2023"/>
    <d v="2023-04-25T00:00:00"/>
    <s v="CUST006"/>
    <x v="1"/>
    <x v="5"/>
    <x v="0"/>
    <x v="0"/>
    <n v="1"/>
    <n v="30"/>
    <n v="30"/>
    <n v="0.44999999999999996"/>
  </r>
  <r>
    <n v="7"/>
    <n v="13"/>
    <n v="3"/>
    <n v="2023"/>
    <d v="2023-03-13T00:00:00"/>
    <s v="CUST007"/>
    <x v="0"/>
    <x v="6"/>
    <x v="0"/>
    <x v="1"/>
    <n v="2"/>
    <n v="25"/>
    <n v="50"/>
    <n v="0.75"/>
  </r>
  <r>
    <n v="8"/>
    <n v="22"/>
    <n v="2"/>
    <n v="2023"/>
    <d v="2023-02-22T00:00:00"/>
    <s v="CUST008"/>
    <x v="0"/>
    <x v="4"/>
    <x v="0"/>
    <x v="2"/>
    <n v="4"/>
    <n v="25"/>
    <n v="100"/>
    <n v="1.5"/>
  </r>
  <r>
    <n v="9"/>
    <n v="13"/>
    <n v="12"/>
    <n v="2023"/>
    <d v="2023-12-13T00:00:00"/>
    <s v="CUST009"/>
    <x v="0"/>
    <x v="7"/>
    <x v="2"/>
    <x v="2"/>
    <n v="2"/>
    <n v="300"/>
    <n v="600"/>
    <n v="9"/>
  </r>
  <r>
    <n v="10"/>
    <n v="7"/>
    <n v="10"/>
    <n v="2023"/>
    <d v="2023-10-07T00:00:00"/>
    <s v="CUST010"/>
    <x v="1"/>
    <x v="8"/>
    <x v="2"/>
    <x v="1"/>
    <n v="4"/>
    <n v="50"/>
    <n v="200"/>
    <n v="3"/>
  </r>
  <r>
    <n v="11"/>
    <n v="14"/>
    <n v="2"/>
    <n v="2023"/>
    <d v="2023-02-14T00:00:00"/>
    <s v="CUST011"/>
    <x v="0"/>
    <x v="9"/>
    <x v="1"/>
    <x v="1"/>
    <n v="2"/>
    <n v="50"/>
    <n v="100"/>
    <n v="1.5"/>
  </r>
  <r>
    <n v="12"/>
    <n v="30"/>
    <n v="10"/>
    <n v="2023"/>
    <d v="2023-10-30T00:00:00"/>
    <s v="CUST012"/>
    <x v="0"/>
    <x v="10"/>
    <x v="0"/>
    <x v="0"/>
    <n v="3"/>
    <n v="25"/>
    <n v="75"/>
    <n v="1.125"/>
  </r>
  <r>
    <n v="13"/>
    <n v="5"/>
    <n v="8"/>
    <n v="2023"/>
    <d v="2023-08-05T00:00:00"/>
    <s v="CUST013"/>
    <x v="0"/>
    <x v="11"/>
    <x v="1"/>
    <x v="2"/>
    <n v="3"/>
    <n v="500"/>
    <n v="1500"/>
    <n v="22.5"/>
  </r>
  <r>
    <n v="14"/>
    <n v="17"/>
    <n v="1"/>
    <n v="2023"/>
    <d v="2023-01-17T00:00:00"/>
    <s v="CUST014"/>
    <x v="0"/>
    <x v="12"/>
    <x v="2"/>
    <x v="1"/>
    <n v="4"/>
    <n v="30"/>
    <n v="120"/>
    <n v="1.7999999999999998"/>
  </r>
  <r>
    <n v="15"/>
    <n v="16"/>
    <n v="1"/>
    <n v="2023"/>
    <d v="2023-01-16T00:00:00"/>
    <s v="CUST015"/>
    <x v="1"/>
    <x v="13"/>
    <x v="0"/>
    <x v="2"/>
    <n v="4"/>
    <n v="500"/>
    <n v="2000"/>
    <n v="30"/>
  </r>
  <r>
    <n v="16"/>
    <n v="17"/>
    <n v="2"/>
    <n v="2023"/>
    <d v="2023-02-17T00:00:00"/>
    <s v="CUST016"/>
    <x v="0"/>
    <x v="14"/>
    <x v="1"/>
    <x v="1"/>
    <n v="3"/>
    <n v="500"/>
    <n v="1500"/>
    <n v="22.5"/>
  </r>
  <r>
    <n v="17"/>
    <n v="22"/>
    <n v="4"/>
    <n v="2023"/>
    <d v="2023-04-22T00:00:00"/>
    <s v="CUST017"/>
    <x v="1"/>
    <x v="15"/>
    <x v="1"/>
    <x v="1"/>
    <n v="4"/>
    <n v="25"/>
    <n v="100"/>
    <n v="1.5"/>
  </r>
  <r>
    <n v="18"/>
    <n v="30"/>
    <n v="4"/>
    <n v="2023"/>
    <d v="2023-04-30T00:00:00"/>
    <s v="CUST018"/>
    <x v="1"/>
    <x v="16"/>
    <x v="0"/>
    <x v="2"/>
    <n v="2"/>
    <n v="25"/>
    <n v="50"/>
    <n v="0.75"/>
  </r>
  <r>
    <n v="19"/>
    <n v="16"/>
    <n v="9"/>
    <n v="2023"/>
    <d v="2023-09-16T00:00:00"/>
    <s v="CUST019"/>
    <x v="1"/>
    <x v="17"/>
    <x v="2"/>
    <x v="1"/>
    <n v="2"/>
    <n v="25"/>
    <n v="50"/>
    <n v="0.75"/>
  </r>
  <r>
    <n v="20"/>
    <n v="5"/>
    <n v="11"/>
    <n v="2023"/>
    <d v="2023-11-05T00:00:00"/>
    <s v="CUST020"/>
    <x v="0"/>
    <x v="11"/>
    <x v="1"/>
    <x v="1"/>
    <n v="3"/>
    <n v="300"/>
    <n v="900"/>
    <n v="13.5"/>
  </r>
  <r>
    <n v="21"/>
    <n v="14"/>
    <n v="1"/>
    <n v="2023"/>
    <d v="2023-01-14T00:00:00"/>
    <s v="CUST021"/>
    <x v="1"/>
    <x v="2"/>
    <x v="2"/>
    <x v="0"/>
    <n v="1"/>
    <n v="500"/>
    <n v="500"/>
    <n v="7.5"/>
  </r>
  <r>
    <n v="22"/>
    <n v="15"/>
    <n v="10"/>
    <n v="2023"/>
    <d v="2023-10-15T00:00:00"/>
    <s v="CUST022"/>
    <x v="0"/>
    <x v="18"/>
    <x v="1"/>
    <x v="1"/>
    <n v="2"/>
    <n v="50"/>
    <n v="100"/>
    <n v="1.5"/>
  </r>
  <r>
    <n v="23"/>
    <n v="12"/>
    <n v="4"/>
    <n v="2023"/>
    <d v="2023-04-12T00:00:00"/>
    <s v="CUST023"/>
    <x v="1"/>
    <x v="10"/>
    <x v="0"/>
    <x v="1"/>
    <n v="4"/>
    <n v="30"/>
    <n v="120"/>
    <n v="1.7999999999999998"/>
  </r>
  <r>
    <n v="24"/>
    <n v="29"/>
    <n v="11"/>
    <n v="2023"/>
    <d v="2023-11-29T00:00:00"/>
    <s v="CUST024"/>
    <x v="1"/>
    <x v="19"/>
    <x v="0"/>
    <x v="1"/>
    <n v="1"/>
    <n v="300"/>
    <n v="300"/>
    <n v="4.5"/>
  </r>
  <r>
    <n v="25"/>
    <n v="26"/>
    <n v="12"/>
    <n v="2023"/>
    <d v="2023-12-26T00:00:00"/>
    <s v="CUST025"/>
    <x v="1"/>
    <x v="12"/>
    <x v="2"/>
    <x v="0"/>
    <n v="1"/>
    <n v="50"/>
    <n v="50"/>
    <n v="0.75"/>
  </r>
  <r>
    <n v="26"/>
    <n v="7"/>
    <n v="10"/>
    <n v="2023"/>
    <d v="2023-10-07T00:00:00"/>
    <s v="CUST026"/>
    <x v="1"/>
    <x v="20"/>
    <x v="1"/>
    <x v="2"/>
    <n v="2"/>
    <n v="500"/>
    <n v="1000"/>
    <n v="15"/>
  </r>
  <r>
    <n v="27"/>
    <n v="3"/>
    <n v="8"/>
    <n v="2023"/>
    <d v="2023-08-03T00:00:00"/>
    <s v="CUST027"/>
    <x v="1"/>
    <x v="21"/>
    <x v="0"/>
    <x v="0"/>
    <n v="2"/>
    <n v="25"/>
    <n v="50"/>
    <n v="0.75"/>
  </r>
  <r>
    <n v="28"/>
    <n v="23"/>
    <n v="4"/>
    <n v="2023"/>
    <d v="2023-04-23T00:00:00"/>
    <s v="CUST028"/>
    <x v="1"/>
    <x v="22"/>
    <x v="0"/>
    <x v="0"/>
    <n v="1"/>
    <n v="500"/>
    <n v="500"/>
    <n v="7.5"/>
  </r>
  <r>
    <n v="29"/>
    <n v="18"/>
    <n v="8"/>
    <n v="2023"/>
    <d v="2023-08-18T00:00:00"/>
    <s v="CUST029"/>
    <x v="1"/>
    <x v="13"/>
    <x v="0"/>
    <x v="2"/>
    <n v="1"/>
    <n v="30"/>
    <n v="30"/>
    <n v="0.44999999999999996"/>
  </r>
  <r>
    <n v="30"/>
    <n v="29"/>
    <n v="10"/>
    <n v="2023"/>
    <d v="2023-10-29T00:00:00"/>
    <s v="CUST030"/>
    <x v="1"/>
    <x v="23"/>
    <x v="0"/>
    <x v="0"/>
    <n v="3"/>
    <n v="300"/>
    <n v="900"/>
    <n v="13.5"/>
  </r>
  <r>
    <n v="31"/>
    <n v="23"/>
    <n v="5"/>
    <n v="2023"/>
    <d v="2023-05-23T00:00:00"/>
    <s v="CUST031"/>
    <x v="0"/>
    <x v="24"/>
    <x v="0"/>
    <x v="2"/>
    <n v="4"/>
    <n v="300"/>
    <n v="1200"/>
    <n v="18"/>
  </r>
  <r>
    <n v="32"/>
    <n v="4"/>
    <n v="1"/>
    <n v="2023"/>
    <d v="2023-01-04T00:00:00"/>
    <s v="CUST032"/>
    <x v="0"/>
    <x v="4"/>
    <x v="0"/>
    <x v="0"/>
    <n v="3"/>
    <n v="30"/>
    <n v="90"/>
    <n v="1.3499999999999999"/>
  </r>
  <r>
    <n v="33"/>
    <n v="23"/>
    <n v="3"/>
    <n v="2023"/>
    <d v="2023-03-23T00:00:00"/>
    <s v="CUST033"/>
    <x v="1"/>
    <x v="2"/>
    <x v="2"/>
    <x v="2"/>
    <n v="2"/>
    <n v="50"/>
    <n v="100"/>
    <n v="1.5"/>
  </r>
  <r>
    <n v="34"/>
    <n v="24"/>
    <n v="12"/>
    <n v="2023"/>
    <d v="2023-12-24T00:00:00"/>
    <s v="CUST034"/>
    <x v="1"/>
    <x v="25"/>
    <x v="2"/>
    <x v="1"/>
    <n v="3"/>
    <n v="50"/>
    <n v="150"/>
    <n v="2.25"/>
  </r>
  <r>
    <n v="35"/>
    <n v="5"/>
    <n v="8"/>
    <n v="2023"/>
    <d v="2023-08-05T00:00:00"/>
    <s v="CUST035"/>
    <x v="1"/>
    <x v="26"/>
    <x v="2"/>
    <x v="0"/>
    <n v="3"/>
    <n v="300"/>
    <n v="900"/>
    <n v="13.5"/>
  </r>
  <r>
    <n v="36"/>
    <n v="24"/>
    <n v="6"/>
    <n v="2023"/>
    <d v="2023-06-24T00:00:00"/>
    <s v="CUST036"/>
    <x v="0"/>
    <x v="8"/>
    <x v="2"/>
    <x v="0"/>
    <n v="3"/>
    <n v="300"/>
    <n v="900"/>
    <n v="13.5"/>
  </r>
  <r>
    <n v="37"/>
    <n v="23"/>
    <n v="5"/>
    <n v="2023"/>
    <d v="2023-05-23T00:00:00"/>
    <s v="CUST037"/>
    <x v="1"/>
    <x v="18"/>
    <x v="1"/>
    <x v="0"/>
    <n v="3"/>
    <n v="25"/>
    <n v="75"/>
    <n v="1.125"/>
  </r>
  <r>
    <n v="38"/>
    <n v="21"/>
    <n v="3"/>
    <n v="2023"/>
    <d v="2023-03-21T00:00:00"/>
    <s v="CUST038"/>
    <x v="0"/>
    <x v="21"/>
    <x v="0"/>
    <x v="0"/>
    <n v="4"/>
    <n v="50"/>
    <n v="200"/>
    <n v="3"/>
  </r>
  <r>
    <n v="39"/>
    <n v="21"/>
    <n v="4"/>
    <n v="2023"/>
    <d v="2023-04-21T00:00:00"/>
    <s v="CUST039"/>
    <x v="0"/>
    <x v="9"/>
    <x v="1"/>
    <x v="1"/>
    <n v="4"/>
    <n v="30"/>
    <n v="120"/>
    <n v="1.7999999999999998"/>
  </r>
  <r>
    <n v="40"/>
    <n v="22"/>
    <n v="6"/>
    <n v="2023"/>
    <d v="2023-06-22T00:00:00"/>
    <s v="CUST040"/>
    <x v="0"/>
    <x v="5"/>
    <x v="0"/>
    <x v="0"/>
    <n v="1"/>
    <n v="50"/>
    <n v="50"/>
    <n v="0.75"/>
  </r>
  <r>
    <n v="41"/>
    <n v="22"/>
    <n v="2"/>
    <n v="2023"/>
    <d v="2023-02-22T00:00:00"/>
    <s v="CUST041"/>
    <x v="0"/>
    <x v="0"/>
    <x v="0"/>
    <x v="1"/>
    <n v="2"/>
    <n v="25"/>
    <n v="50"/>
    <n v="0.75"/>
  </r>
  <r>
    <n v="42"/>
    <n v="17"/>
    <n v="2"/>
    <n v="2023"/>
    <d v="2023-02-17T00:00:00"/>
    <s v="CUST042"/>
    <x v="0"/>
    <x v="11"/>
    <x v="1"/>
    <x v="1"/>
    <n v="3"/>
    <n v="300"/>
    <n v="900"/>
    <n v="13.5"/>
  </r>
  <r>
    <n v="43"/>
    <n v="14"/>
    <n v="7"/>
    <n v="2023"/>
    <d v="2023-07-14T00:00:00"/>
    <s v="CUST043"/>
    <x v="1"/>
    <x v="27"/>
    <x v="0"/>
    <x v="1"/>
    <n v="1"/>
    <n v="300"/>
    <n v="300"/>
    <n v="4.5"/>
  </r>
  <r>
    <n v="44"/>
    <n v="19"/>
    <n v="2"/>
    <n v="2023"/>
    <d v="2023-02-19T00:00:00"/>
    <s v="CUST044"/>
    <x v="1"/>
    <x v="11"/>
    <x v="1"/>
    <x v="1"/>
    <n v="1"/>
    <n v="25"/>
    <n v="25"/>
    <n v="0.375"/>
  </r>
  <r>
    <n v="45"/>
    <n v="3"/>
    <n v="7"/>
    <n v="2023"/>
    <d v="2023-07-03T00:00:00"/>
    <s v="CUST045"/>
    <x v="1"/>
    <x v="28"/>
    <x v="2"/>
    <x v="2"/>
    <n v="1"/>
    <n v="30"/>
    <n v="30"/>
    <n v="0.44999999999999996"/>
  </r>
  <r>
    <n v="46"/>
    <n v="26"/>
    <n v="6"/>
    <n v="2023"/>
    <d v="2023-06-26T00:00:00"/>
    <s v="CUST046"/>
    <x v="1"/>
    <x v="29"/>
    <x v="1"/>
    <x v="2"/>
    <n v="4"/>
    <n v="300"/>
    <n v="1200"/>
    <n v="18"/>
  </r>
  <r>
    <n v="47"/>
    <n v="6"/>
    <n v="11"/>
    <n v="2023"/>
    <d v="2023-11-06T00:00:00"/>
    <s v="CUST047"/>
    <x v="1"/>
    <x v="30"/>
    <x v="0"/>
    <x v="0"/>
    <n v="3"/>
    <n v="500"/>
    <n v="1500"/>
    <n v="22.5"/>
  </r>
  <r>
    <n v="48"/>
    <n v="16"/>
    <n v="5"/>
    <n v="2023"/>
    <d v="2023-05-16T00:00:00"/>
    <s v="CUST048"/>
    <x v="0"/>
    <x v="31"/>
    <x v="2"/>
    <x v="2"/>
    <n v="3"/>
    <n v="300"/>
    <n v="900"/>
    <n v="13.5"/>
  </r>
  <r>
    <n v="49"/>
    <n v="23"/>
    <n v="1"/>
    <n v="2023"/>
    <d v="2023-01-23T00:00:00"/>
    <s v="CUST049"/>
    <x v="1"/>
    <x v="31"/>
    <x v="2"/>
    <x v="2"/>
    <n v="2"/>
    <n v="500"/>
    <n v="1000"/>
    <n v="15"/>
  </r>
  <r>
    <n v="50"/>
    <n v="24"/>
    <n v="8"/>
    <n v="2023"/>
    <d v="2023-08-24T00:00:00"/>
    <s v="CUST050"/>
    <x v="1"/>
    <x v="15"/>
    <x v="1"/>
    <x v="0"/>
    <n v="3"/>
    <n v="25"/>
    <n v="75"/>
    <n v="1.125"/>
  </r>
  <r>
    <n v="51"/>
    <n v="2"/>
    <n v="10"/>
    <n v="2023"/>
    <d v="2023-10-02T00:00:00"/>
    <s v="CUST051"/>
    <x v="0"/>
    <x v="15"/>
    <x v="1"/>
    <x v="0"/>
    <n v="3"/>
    <n v="25"/>
    <n v="75"/>
    <n v="1.125"/>
  </r>
  <r>
    <n v="52"/>
    <n v="5"/>
    <n v="3"/>
    <n v="2023"/>
    <d v="2023-03-05T00:00:00"/>
    <s v="CUST052"/>
    <x v="1"/>
    <x v="32"/>
    <x v="0"/>
    <x v="0"/>
    <n v="1"/>
    <n v="300"/>
    <n v="300"/>
    <n v="4.5"/>
  </r>
  <r>
    <n v="53"/>
    <n v="13"/>
    <n v="7"/>
    <n v="2023"/>
    <d v="2023-07-13T00:00:00"/>
    <s v="CUST053"/>
    <x v="0"/>
    <x v="0"/>
    <x v="0"/>
    <x v="2"/>
    <n v="2"/>
    <n v="50"/>
    <n v="100"/>
    <n v="1.5"/>
  </r>
  <r>
    <n v="54"/>
    <n v="10"/>
    <n v="2"/>
    <n v="2023"/>
    <d v="2023-02-10T00:00:00"/>
    <s v="CUST054"/>
    <x v="1"/>
    <x v="21"/>
    <x v="0"/>
    <x v="2"/>
    <n v="3"/>
    <n v="500"/>
    <n v="1500"/>
    <n v="22.5"/>
  </r>
  <r>
    <n v="55"/>
    <n v="10"/>
    <n v="10"/>
    <n v="2023"/>
    <d v="2023-10-10T00:00:00"/>
    <s v="CUST055"/>
    <x v="0"/>
    <x v="33"/>
    <x v="0"/>
    <x v="0"/>
    <n v="4"/>
    <n v="30"/>
    <n v="120"/>
    <n v="1.7999999999999998"/>
  </r>
  <r>
    <n v="56"/>
    <n v="31"/>
    <n v="5"/>
    <n v="2023"/>
    <d v="2023-05-31T00:00:00"/>
    <s v="CUST056"/>
    <x v="1"/>
    <x v="1"/>
    <x v="1"/>
    <x v="1"/>
    <n v="3"/>
    <n v="300"/>
    <n v="900"/>
    <n v="13.5"/>
  </r>
  <r>
    <n v="57"/>
    <n v="18"/>
    <n v="11"/>
    <n v="2023"/>
    <d v="2023-11-18T00:00:00"/>
    <s v="CUST057"/>
    <x v="1"/>
    <x v="7"/>
    <x v="2"/>
    <x v="0"/>
    <n v="1"/>
    <n v="30"/>
    <n v="30"/>
    <n v="0.44999999999999996"/>
  </r>
  <r>
    <n v="58"/>
    <n v="13"/>
    <n v="11"/>
    <n v="2023"/>
    <d v="2023-11-13T00:00:00"/>
    <s v="CUST058"/>
    <x v="0"/>
    <x v="18"/>
    <x v="1"/>
    <x v="1"/>
    <n v="4"/>
    <n v="300"/>
    <n v="1200"/>
    <n v="18"/>
  </r>
  <r>
    <n v="59"/>
    <n v="5"/>
    <n v="7"/>
    <n v="2023"/>
    <d v="2023-07-05T00:00:00"/>
    <s v="CUST059"/>
    <x v="0"/>
    <x v="17"/>
    <x v="2"/>
    <x v="1"/>
    <n v="1"/>
    <n v="50"/>
    <n v="50"/>
    <n v="0.75"/>
  </r>
  <r>
    <n v="60"/>
    <n v="23"/>
    <n v="10"/>
    <n v="2023"/>
    <d v="2023-10-23T00:00:00"/>
    <s v="CUST060"/>
    <x v="0"/>
    <x v="4"/>
    <x v="0"/>
    <x v="0"/>
    <n v="3"/>
    <n v="50"/>
    <n v="150"/>
    <n v="2.25"/>
  </r>
  <r>
    <n v="61"/>
    <n v="9"/>
    <n v="4"/>
    <n v="2023"/>
    <d v="2023-04-09T00:00:00"/>
    <s v="CUST061"/>
    <x v="0"/>
    <x v="34"/>
    <x v="1"/>
    <x v="0"/>
    <n v="4"/>
    <n v="50"/>
    <n v="200"/>
    <n v="3"/>
  </r>
  <r>
    <n v="62"/>
    <n v="27"/>
    <n v="12"/>
    <n v="2023"/>
    <d v="2023-12-27T00:00:00"/>
    <s v="CUST062"/>
    <x v="0"/>
    <x v="18"/>
    <x v="1"/>
    <x v="0"/>
    <n v="2"/>
    <n v="50"/>
    <n v="100"/>
    <n v="1.5"/>
  </r>
  <r>
    <n v="63"/>
    <n v="5"/>
    <n v="2"/>
    <n v="2023"/>
    <d v="2023-02-05T00:00:00"/>
    <s v="CUST063"/>
    <x v="0"/>
    <x v="35"/>
    <x v="2"/>
    <x v="2"/>
    <n v="2"/>
    <n v="25"/>
    <n v="50"/>
    <n v="0.75"/>
  </r>
  <r>
    <n v="64"/>
    <n v="24"/>
    <n v="1"/>
    <n v="2023"/>
    <d v="2023-01-24T00:00:00"/>
    <s v="CUST064"/>
    <x v="0"/>
    <x v="19"/>
    <x v="0"/>
    <x v="1"/>
    <n v="4"/>
    <n v="25"/>
    <n v="100"/>
    <n v="1.5"/>
  </r>
  <r>
    <n v="65"/>
    <n v="5"/>
    <n v="12"/>
    <n v="2023"/>
    <d v="2023-12-05T00:00:00"/>
    <s v="CUST065"/>
    <x v="0"/>
    <x v="25"/>
    <x v="2"/>
    <x v="2"/>
    <n v="4"/>
    <n v="500"/>
    <n v="2000"/>
    <n v="30"/>
  </r>
  <r>
    <n v="66"/>
    <n v="27"/>
    <n v="4"/>
    <n v="2023"/>
    <d v="2023-04-27T00:00:00"/>
    <s v="CUST066"/>
    <x v="1"/>
    <x v="5"/>
    <x v="0"/>
    <x v="2"/>
    <n v="1"/>
    <n v="30"/>
    <n v="30"/>
    <n v="0.44999999999999996"/>
  </r>
  <r>
    <n v="67"/>
    <n v="29"/>
    <n v="5"/>
    <n v="2023"/>
    <d v="2023-05-29T00:00:00"/>
    <s v="CUST067"/>
    <x v="1"/>
    <x v="27"/>
    <x v="0"/>
    <x v="0"/>
    <n v="4"/>
    <n v="300"/>
    <n v="1200"/>
    <n v="18"/>
  </r>
  <r>
    <n v="68"/>
    <n v="10"/>
    <n v="2"/>
    <n v="2023"/>
    <d v="2023-02-10T00:00:00"/>
    <s v="CUST068"/>
    <x v="0"/>
    <x v="36"/>
    <x v="1"/>
    <x v="2"/>
    <n v="1"/>
    <n v="300"/>
    <n v="300"/>
    <n v="4.5"/>
  </r>
  <r>
    <n v="69"/>
    <n v="30"/>
    <n v="4"/>
    <n v="2023"/>
    <d v="2023-04-30T00:00:00"/>
    <s v="CUST069"/>
    <x v="1"/>
    <x v="37"/>
    <x v="2"/>
    <x v="0"/>
    <n v="3"/>
    <n v="25"/>
    <n v="75"/>
    <n v="1.125"/>
  </r>
  <r>
    <n v="70"/>
    <n v="21"/>
    <n v="2"/>
    <n v="2023"/>
    <d v="2023-02-21T00:00:00"/>
    <s v="CUST070"/>
    <x v="1"/>
    <x v="22"/>
    <x v="0"/>
    <x v="1"/>
    <n v="1"/>
    <n v="300"/>
    <n v="300"/>
    <n v="4.5"/>
  </r>
  <r>
    <n v="71"/>
    <n v="14"/>
    <n v="7"/>
    <n v="2023"/>
    <d v="2023-07-14T00:00:00"/>
    <s v="CUST071"/>
    <x v="1"/>
    <x v="25"/>
    <x v="2"/>
    <x v="0"/>
    <n v="4"/>
    <n v="25"/>
    <n v="100"/>
    <n v="1.5"/>
  </r>
  <r>
    <n v="72"/>
    <n v="23"/>
    <n v="5"/>
    <n v="2023"/>
    <d v="2023-05-23T00:00:00"/>
    <s v="CUST072"/>
    <x v="1"/>
    <x v="29"/>
    <x v="1"/>
    <x v="2"/>
    <n v="4"/>
    <n v="500"/>
    <n v="2000"/>
    <n v="30"/>
  </r>
  <r>
    <n v="73"/>
    <n v="21"/>
    <n v="8"/>
    <n v="2023"/>
    <d v="2023-08-21T00:00:00"/>
    <s v="CUST073"/>
    <x v="0"/>
    <x v="38"/>
    <x v="1"/>
    <x v="2"/>
    <n v="3"/>
    <n v="30"/>
    <n v="90"/>
    <n v="1.3499999999999999"/>
  </r>
  <r>
    <n v="74"/>
    <n v="22"/>
    <n v="11"/>
    <n v="2023"/>
    <d v="2023-11-22T00:00:00"/>
    <s v="CUST074"/>
    <x v="1"/>
    <x v="18"/>
    <x v="1"/>
    <x v="0"/>
    <n v="4"/>
    <n v="500"/>
    <n v="2000"/>
    <n v="30"/>
  </r>
  <r>
    <n v="75"/>
    <n v="6"/>
    <n v="7"/>
    <n v="2023"/>
    <d v="2023-07-06T00:00:00"/>
    <s v="CUST075"/>
    <x v="0"/>
    <x v="39"/>
    <x v="2"/>
    <x v="0"/>
    <n v="4"/>
    <n v="50"/>
    <n v="200"/>
    <n v="3"/>
  </r>
  <r>
    <n v="76"/>
    <n v="25"/>
    <n v="3"/>
    <n v="2023"/>
    <d v="2023-03-25T00:00:00"/>
    <s v="CUST076"/>
    <x v="1"/>
    <x v="11"/>
    <x v="1"/>
    <x v="2"/>
    <n v="2"/>
    <n v="50"/>
    <n v="100"/>
    <n v="1.5"/>
  </r>
  <r>
    <n v="77"/>
    <n v="9"/>
    <n v="7"/>
    <n v="2023"/>
    <d v="2023-07-09T00:00:00"/>
    <s v="CUST077"/>
    <x v="1"/>
    <x v="16"/>
    <x v="0"/>
    <x v="1"/>
    <n v="2"/>
    <n v="50"/>
    <n v="100"/>
    <n v="1.5"/>
  </r>
  <r>
    <n v="78"/>
    <n v="1"/>
    <n v="7"/>
    <n v="2023"/>
    <d v="2023-07-01T00:00:00"/>
    <s v="CUST078"/>
    <x v="1"/>
    <x v="16"/>
    <x v="0"/>
    <x v="1"/>
    <n v="3"/>
    <n v="500"/>
    <n v="1500"/>
    <n v="22.5"/>
  </r>
  <r>
    <n v="79"/>
    <n v="18"/>
    <n v="4"/>
    <n v="2023"/>
    <d v="2023-04-18T00:00:00"/>
    <s v="CUST079"/>
    <x v="0"/>
    <x v="0"/>
    <x v="0"/>
    <x v="0"/>
    <n v="1"/>
    <n v="300"/>
    <n v="300"/>
    <n v="4.5"/>
  </r>
  <r>
    <n v="80"/>
    <n v="10"/>
    <n v="12"/>
    <n v="2023"/>
    <d v="2023-12-10T00:00:00"/>
    <s v="CUST080"/>
    <x v="1"/>
    <x v="12"/>
    <x v="2"/>
    <x v="1"/>
    <n v="2"/>
    <n v="30"/>
    <n v="60"/>
    <n v="0.89999999999999991"/>
  </r>
  <r>
    <n v="81"/>
    <n v="17"/>
    <n v="5"/>
    <n v="2023"/>
    <d v="2023-05-17T00:00:00"/>
    <s v="CUST081"/>
    <x v="0"/>
    <x v="30"/>
    <x v="0"/>
    <x v="2"/>
    <n v="1"/>
    <n v="50"/>
    <n v="50"/>
    <n v="0.75"/>
  </r>
  <r>
    <n v="82"/>
    <n v="26"/>
    <n v="12"/>
    <n v="2023"/>
    <d v="2023-12-26T00:00:00"/>
    <s v="CUST082"/>
    <x v="1"/>
    <x v="40"/>
    <x v="0"/>
    <x v="0"/>
    <n v="4"/>
    <n v="50"/>
    <n v="200"/>
    <n v="3"/>
  </r>
  <r>
    <n v="83"/>
    <n v="16"/>
    <n v="12"/>
    <n v="2023"/>
    <d v="2023-12-16T00:00:00"/>
    <s v="CUST083"/>
    <x v="0"/>
    <x v="31"/>
    <x v="2"/>
    <x v="2"/>
    <n v="2"/>
    <n v="50"/>
    <n v="100"/>
    <n v="1.5"/>
  </r>
  <r>
    <n v="84"/>
    <n v="28"/>
    <n v="11"/>
    <n v="2023"/>
    <d v="2023-11-28T00:00:00"/>
    <s v="CUST084"/>
    <x v="1"/>
    <x v="21"/>
    <x v="0"/>
    <x v="2"/>
    <n v="3"/>
    <n v="30"/>
    <n v="90"/>
    <n v="1.3499999999999999"/>
  </r>
  <r>
    <n v="85"/>
    <n v="6"/>
    <n v="2"/>
    <n v="2023"/>
    <d v="2023-02-06T00:00:00"/>
    <s v="CUST085"/>
    <x v="0"/>
    <x v="33"/>
    <x v="0"/>
    <x v="1"/>
    <n v="3"/>
    <n v="50"/>
    <n v="150"/>
    <n v="2.25"/>
  </r>
  <r>
    <n v="86"/>
    <n v="8"/>
    <n v="11"/>
    <n v="2023"/>
    <d v="2023-11-08T00:00:00"/>
    <s v="CUST086"/>
    <x v="0"/>
    <x v="14"/>
    <x v="1"/>
    <x v="0"/>
    <n v="3"/>
    <n v="30"/>
    <n v="90"/>
    <n v="1.3499999999999999"/>
  </r>
  <r>
    <n v="87"/>
    <n v="22"/>
    <n v="11"/>
    <n v="2023"/>
    <d v="2023-11-22T00:00:00"/>
    <s v="CUST087"/>
    <x v="1"/>
    <x v="20"/>
    <x v="1"/>
    <x v="0"/>
    <n v="2"/>
    <n v="50"/>
    <n v="100"/>
    <n v="1.5"/>
  </r>
  <r>
    <n v="88"/>
    <n v="29"/>
    <n v="3"/>
    <n v="2023"/>
    <d v="2023-03-29T00:00:00"/>
    <s v="CUST088"/>
    <x v="0"/>
    <x v="37"/>
    <x v="2"/>
    <x v="1"/>
    <n v="1"/>
    <n v="500"/>
    <n v="500"/>
    <n v="7.5"/>
  </r>
  <r>
    <n v="89"/>
    <n v="1"/>
    <n v="10"/>
    <n v="2023"/>
    <d v="2023-10-01T00:00:00"/>
    <s v="CUST089"/>
    <x v="1"/>
    <x v="28"/>
    <x v="2"/>
    <x v="2"/>
    <n v="4"/>
    <n v="500"/>
    <n v="2000"/>
    <n v="30"/>
  </r>
  <r>
    <n v="90"/>
    <n v="6"/>
    <n v="5"/>
    <n v="2023"/>
    <d v="2023-05-06T00:00:00"/>
    <s v="CUST090"/>
    <x v="1"/>
    <x v="25"/>
    <x v="2"/>
    <x v="2"/>
    <n v="1"/>
    <n v="30"/>
    <n v="30"/>
    <n v="0.44999999999999996"/>
  </r>
  <r>
    <n v="91"/>
    <n v="25"/>
    <n v="3"/>
    <n v="2023"/>
    <d v="2023-03-25T00:00:00"/>
    <s v="CUST091"/>
    <x v="1"/>
    <x v="28"/>
    <x v="2"/>
    <x v="2"/>
    <n v="1"/>
    <n v="500"/>
    <n v="500"/>
    <n v="7.5"/>
  </r>
  <r>
    <n v="92"/>
    <n v="25"/>
    <n v="8"/>
    <n v="2023"/>
    <d v="2023-08-25T00:00:00"/>
    <s v="CUST092"/>
    <x v="1"/>
    <x v="25"/>
    <x v="2"/>
    <x v="2"/>
    <n v="4"/>
    <n v="30"/>
    <n v="120"/>
    <n v="1.7999999999999998"/>
  </r>
  <r>
    <n v="93"/>
    <n v="14"/>
    <n v="7"/>
    <n v="2023"/>
    <d v="2023-07-14T00:00:00"/>
    <s v="CUST093"/>
    <x v="1"/>
    <x v="10"/>
    <x v="0"/>
    <x v="0"/>
    <n v="4"/>
    <n v="500"/>
    <n v="2000"/>
    <n v="30"/>
  </r>
  <r>
    <n v="94"/>
    <n v="19"/>
    <n v="5"/>
    <n v="2023"/>
    <d v="2023-05-19T00:00:00"/>
    <s v="CUST094"/>
    <x v="1"/>
    <x v="16"/>
    <x v="0"/>
    <x v="0"/>
    <n v="2"/>
    <n v="500"/>
    <n v="1000"/>
    <n v="15"/>
  </r>
  <r>
    <n v="95"/>
    <n v="24"/>
    <n v="11"/>
    <n v="2023"/>
    <d v="2023-11-24T00:00:00"/>
    <s v="CUST095"/>
    <x v="1"/>
    <x v="40"/>
    <x v="0"/>
    <x v="1"/>
    <n v="2"/>
    <n v="30"/>
    <n v="60"/>
    <n v="0.89999999999999991"/>
  </r>
  <r>
    <n v="96"/>
    <n v="19"/>
    <n v="12"/>
    <n v="2023"/>
    <d v="2023-12-19T00:00:00"/>
    <s v="CUST096"/>
    <x v="1"/>
    <x v="24"/>
    <x v="0"/>
    <x v="1"/>
    <n v="2"/>
    <n v="300"/>
    <n v="600"/>
    <n v="9"/>
  </r>
  <r>
    <n v="97"/>
    <n v="13"/>
    <n v="10"/>
    <n v="2023"/>
    <d v="2023-10-13T00:00:00"/>
    <s v="CUST097"/>
    <x v="1"/>
    <x v="25"/>
    <x v="2"/>
    <x v="0"/>
    <n v="2"/>
    <n v="500"/>
    <n v="1000"/>
    <n v="15"/>
  </r>
  <r>
    <n v="98"/>
    <n v="23"/>
    <n v="4"/>
    <n v="2023"/>
    <d v="2023-04-23T00:00:00"/>
    <s v="CUST098"/>
    <x v="1"/>
    <x v="28"/>
    <x v="2"/>
    <x v="0"/>
    <n v="2"/>
    <n v="50"/>
    <n v="100"/>
    <n v="1.5"/>
  </r>
  <r>
    <n v="99"/>
    <n v="17"/>
    <n v="12"/>
    <n v="2023"/>
    <d v="2023-12-17T00:00:00"/>
    <s v="CUST099"/>
    <x v="1"/>
    <x v="2"/>
    <x v="2"/>
    <x v="2"/>
    <n v="4"/>
    <n v="300"/>
    <n v="1200"/>
    <n v="18"/>
  </r>
  <r>
    <n v="100"/>
    <n v="16"/>
    <n v="6"/>
    <n v="2023"/>
    <d v="2023-06-16T00:00:00"/>
    <s v="CUST100"/>
    <x v="0"/>
    <x v="41"/>
    <x v="0"/>
    <x v="2"/>
    <n v="1"/>
    <n v="30"/>
    <n v="30"/>
    <n v="0.44999999999999996"/>
  </r>
  <r>
    <n v="101"/>
    <n v="29"/>
    <n v="1"/>
    <n v="2023"/>
    <d v="2023-01-29T00:00:00"/>
    <s v="CUST101"/>
    <x v="0"/>
    <x v="40"/>
    <x v="0"/>
    <x v="1"/>
    <n v="2"/>
    <n v="300"/>
    <n v="600"/>
    <n v="9"/>
  </r>
  <r>
    <n v="102"/>
    <n v="28"/>
    <n v="4"/>
    <n v="2023"/>
    <d v="2023-04-28T00:00:00"/>
    <s v="CUST102"/>
    <x v="1"/>
    <x v="16"/>
    <x v="0"/>
    <x v="0"/>
    <n v="2"/>
    <n v="25"/>
    <n v="50"/>
    <n v="0.75"/>
  </r>
  <r>
    <n v="103"/>
    <n v="17"/>
    <n v="1"/>
    <n v="2023"/>
    <d v="2023-01-17T00:00:00"/>
    <s v="CUST103"/>
    <x v="1"/>
    <x v="42"/>
    <x v="2"/>
    <x v="1"/>
    <n v="1"/>
    <n v="25"/>
    <n v="25"/>
    <n v="0.375"/>
  </r>
  <r>
    <n v="104"/>
    <n v="11"/>
    <n v="6"/>
    <n v="2023"/>
    <d v="2023-06-11T00:00:00"/>
    <s v="CUST104"/>
    <x v="1"/>
    <x v="0"/>
    <x v="0"/>
    <x v="0"/>
    <n v="2"/>
    <n v="500"/>
    <n v="1000"/>
    <n v="15"/>
  </r>
  <r>
    <n v="105"/>
    <n v="25"/>
    <n v="7"/>
    <n v="2023"/>
    <d v="2023-07-25T00:00:00"/>
    <s v="CUST105"/>
    <x v="1"/>
    <x v="11"/>
    <x v="1"/>
    <x v="2"/>
    <n v="1"/>
    <n v="500"/>
    <n v="500"/>
    <n v="7.5"/>
  </r>
  <r>
    <n v="106"/>
    <n v="18"/>
    <n v="5"/>
    <n v="2023"/>
    <d v="2023-05-18T00:00:00"/>
    <s v="CUST106"/>
    <x v="1"/>
    <x v="6"/>
    <x v="0"/>
    <x v="1"/>
    <n v="1"/>
    <n v="50"/>
    <n v="50"/>
    <n v="0.75"/>
  </r>
  <r>
    <n v="107"/>
    <n v="3"/>
    <n v="2"/>
    <n v="2023"/>
    <d v="2023-02-03T00:00:00"/>
    <s v="CUST107"/>
    <x v="1"/>
    <x v="34"/>
    <x v="1"/>
    <x v="1"/>
    <n v="4"/>
    <n v="300"/>
    <n v="1200"/>
    <n v="18"/>
  </r>
  <r>
    <n v="108"/>
    <n v="19"/>
    <n v="4"/>
    <n v="2023"/>
    <d v="2023-04-19T00:00:00"/>
    <s v="CUST108"/>
    <x v="1"/>
    <x v="15"/>
    <x v="1"/>
    <x v="0"/>
    <n v="3"/>
    <n v="25"/>
    <n v="75"/>
    <n v="1.125"/>
  </r>
  <r>
    <n v="109"/>
    <n v="18"/>
    <n v="10"/>
    <n v="2023"/>
    <d v="2023-10-18T00:00:00"/>
    <s v="CUST109"/>
    <x v="1"/>
    <x v="0"/>
    <x v="0"/>
    <x v="2"/>
    <n v="4"/>
    <n v="500"/>
    <n v="2000"/>
    <n v="30"/>
  </r>
  <r>
    <n v="110"/>
    <n v="11"/>
    <n v="6"/>
    <n v="2023"/>
    <d v="2023-06-11T00:00:00"/>
    <s v="CUST110"/>
    <x v="0"/>
    <x v="15"/>
    <x v="1"/>
    <x v="1"/>
    <n v="3"/>
    <n v="300"/>
    <n v="900"/>
    <n v="13.5"/>
  </r>
  <r>
    <n v="111"/>
    <n v="19"/>
    <n v="4"/>
    <n v="2023"/>
    <d v="2023-04-19T00:00:00"/>
    <s v="CUST111"/>
    <x v="1"/>
    <x v="0"/>
    <x v="0"/>
    <x v="2"/>
    <n v="3"/>
    <n v="500"/>
    <n v="1500"/>
    <n v="22.5"/>
  </r>
  <r>
    <n v="112"/>
    <n v="2"/>
    <n v="12"/>
    <n v="2023"/>
    <d v="2023-12-02T00:00:00"/>
    <s v="CUST112"/>
    <x v="0"/>
    <x v="3"/>
    <x v="0"/>
    <x v="1"/>
    <n v="3"/>
    <n v="500"/>
    <n v="1500"/>
    <n v="22.5"/>
  </r>
  <r>
    <n v="113"/>
    <n v="13"/>
    <n v="9"/>
    <n v="2023"/>
    <d v="2023-09-13T00:00:00"/>
    <s v="CUST113"/>
    <x v="1"/>
    <x v="41"/>
    <x v="0"/>
    <x v="2"/>
    <n v="2"/>
    <n v="25"/>
    <n v="50"/>
    <n v="0.75"/>
  </r>
  <r>
    <n v="114"/>
    <n v="22"/>
    <n v="7"/>
    <n v="2023"/>
    <d v="2023-07-22T00:00:00"/>
    <s v="CUST114"/>
    <x v="1"/>
    <x v="11"/>
    <x v="1"/>
    <x v="0"/>
    <n v="4"/>
    <n v="25"/>
    <n v="100"/>
    <n v="1.5"/>
  </r>
  <r>
    <n v="115"/>
    <n v="26"/>
    <n v="11"/>
    <n v="2023"/>
    <d v="2023-11-26T00:00:00"/>
    <s v="CUST115"/>
    <x v="0"/>
    <x v="25"/>
    <x v="2"/>
    <x v="1"/>
    <n v="3"/>
    <n v="500"/>
    <n v="1500"/>
    <n v="22.5"/>
  </r>
  <r>
    <n v="116"/>
    <n v="23"/>
    <n v="8"/>
    <n v="2023"/>
    <d v="2023-08-23T00:00:00"/>
    <s v="CUST116"/>
    <x v="1"/>
    <x v="9"/>
    <x v="1"/>
    <x v="1"/>
    <n v="1"/>
    <n v="30"/>
    <n v="30"/>
    <n v="0.44999999999999996"/>
  </r>
  <r>
    <n v="117"/>
    <n v="15"/>
    <n v="3"/>
    <n v="2023"/>
    <d v="2023-03-15T00:00:00"/>
    <s v="CUST117"/>
    <x v="0"/>
    <x v="14"/>
    <x v="1"/>
    <x v="2"/>
    <n v="2"/>
    <n v="500"/>
    <n v="1000"/>
    <n v="15"/>
  </r>
  <r>
    <n v="118"/>
    <n v="16"/>
    <n v="5"/>
    <n v="2023"/>
    <d v="2023-05-16T00:00:00"/>
    <s v="CUST118"/>
    <x v="1"/>
    <x v="4"/>
    <x v="0"/>
    <x v="2"/>
    <n v="4"/>
    <n v="500"/>
    <n v="2000"/>
    <n v="30"/>
  </r>
  <r>
    <n v="119"/>
    <n v="13"/>
    <n v="3"/>
    <n v="2023"/>
    <d v="2023-03-13T00:00:00"/>
    <s v="CUST119"/>
    <x v="1"/>
    <x v="43"/>
    <x v="2"/>
    <x v="1"/>
    <n v="3"/>
    <n v="50"/>
    <n v="150"/>
    <n v="2.25"/>
  </r>
  <r>
    <n v="120"/>
    <n v="7"/>
    <n v="5"/>
    <n v="2023"/>
    <d v="2023-05-07T00:00:00"/>
    <s v="CUST120"/>
    <x v="0"/>
    <x v="43"/>
    <x v="2"/>
    <x v="0"/>
    <n v="1"/>
    <n v="50"/>
    <n v="50"/>
    <n v="0.75"/>
  </r>
  <r>
    <n v="121"/>
    <n v="15"/>
    <n v="10"/>
    <n v="2023"/>
    <d v="2023-10-15T00:00:00"/>
    <s v="CUST121"/>
    <x v="1"/>
    <x v="20"/>
    <x v="1"/>
    <x v="2"/>
    <n v="4"/>
    <n v="50"/>
    <n v="200"/>
    <n v="3"/>
  </r>
  <r>
    <n v="122"/>
    <n v="3"/>
    <n v="10"/>
    <n v="2023"/>
    <d v="2023-10-03T00:00:00"/>
    <s v="CUST122"/>
    <x v="0"/>
    <x v="12"/>
    <x v="2"/>
    <x v="2"/>
    <n v="4"/>
    <n v="30"/>
    <n v="120"/>
    <n v="1.7999999999999998"/>
  </r>
  <r>
    <n v="123"/>
    <n v="15"/>
    <n v="5"/>
    <n v="2023"/>
    <d v="2023-05-15T00:00:00"/>
    <s v="CUST123"/>
    <x v="1"/>
    <x v="30"/>
    <x v="0"/>
    <x v="2"/>
    <n v="2"/>
    <n v="30"/>
    <n v="60"/>
    <n v="0.89999999999999991"/>
  </r>
  <r>
    <n v="124"/>
    <n v="27"/>
    <n v="10"/>
    <n v="2023"/>
    <d v="2023-10-27T00:00:00"/>
    <s v="CUST124"/>
    <x v="0"/>
    <x v="44"/>
    <x v="0"/>
    <x v="1"/>
    <n v="4"/>
    <n v="500"/>
    <n v="2000"/>
    <n v="30"/>
  </r>
  <r>
    <n v="125"/>
    <n v="8"/>
    <n v="8"/>
    <n v="2023"/>
    <d v="2023-08-08T00:00:00"/>
    <s v="CUST125"/>
    <x v="0"/>
    <x v="27"/>
    <x v="0"/>
    <x v="1"/>
    <n v="2"/>
    <n v="50"/>
    <n v="100"/>
    <n v="1.5"/>
  </r>
  <r>
    <n v="126"/>
    <n v="26"/>
    <n v="10"/>
    <n v="2023"/>
    <d v="2023-10-26T00:00:00"/>
    <s v="CUST126"/>
    <x v="1"/>
    <x v="20"/>
    <x v="1"/>
    <x v="1"/>
    <n v="3"/>
    <n v="30"/>
    <n v="90"/>
    <n v="1.3499999999999999"/>
  </r>
  <r>
    <n v="127"/>
    <n v="24"/>
    <n v="7"/>
    <n v="2023"/>
    <d v="2023-07-24T00:00:00"/>
    <s v="CUST127"/>
    <x v="1"/>
    <x v="44"/>
    <x v="0"/>
    <x v="1"/>
    <n v="2"/>
    <n v="25"/>
    <n v="50"/>
    <n v="0.75"/>
  </r>
  <r>
    <n v="128"/>
    <n v="5"/>
    <n v="7"/>
    <n v="2023"/>
    <d v="2023-07-05T00:00:00"/>
    <s v="CUST128"/>
    <x v="0"/>
    <x v="36"/>
    <x v="1"/>
    <x v="0"/>
    <n v="1"/>
    <n v="500"/>
    <n v="500"/>
    <n v="7.5"/>
  </r>
  <r>
    <n v="129"/>
    <n v="23"/>
    <n v="4"/>
    <n v="2023"/>
    <d v="2023-04-23T00:00:00"/>
    <s v="CUST129"/>
    <x v="1"/>
    <x v="34"/>
    <x v="1"/>
    <x v="0"/>
    <n v="2"/>
    <n v="300"/>
    <n v="600"/>
    <n v="9"/>
  </r>
  <r>
    <n v="130"/>
    <n v="12"/>
    <n v="3"/>
    <n v="2023"/>
    <d v="2023-03-12T00:00:00"/>
    <s v="CUST130"/>
    <x v="1"/>
    <x v="35"/>
    <x v="2"/>
    <x v="1"/>
    <n v="1"/>
    <n v="500"/>
    <n v="500"/>
    <n v="7.5"/>
  </r>
  <r>
    <n v="131"/>
    <n v="18"/>
    <n v="9"/>
    <n v="2023"/>
    <d v="2023-09-18T00:00:00"/>
    <s v="CUST131"/>
    <x v="1"/>
    <x v="34"/>
    <x v="1"/>
    <x v="0"/>
    <n v="2"/>
    <n v="300"/>
    <n v="600"/>
    <n v="9"/>
  </r>
  <r>
    <n v="132"/>
    <n v="10"/>
    <n v="9"/>
    <n v="2023"/>
    <d v="2023-09-10T00:00:00"/>
    <s v="CUST132"/>
    <x v="0"/>
    <x v="13"/>
    <x v="0"/>
    <x v="2"/>
    <n v="4"/>
    <n v="50"/>
    <n v="200"/>
    <n v="3"/>
  </r>
  <r>
    <n v="133"/>
    <n v="16"/>
    <n v="2"/>
    <n v="2023"/>
    <d v="2023-02-16T00:00:00"/>
    <s v="CUST133"/>
    <x v="0"/>
    <x v="29"/>
    <x v="1"/>
    <x v="2"/>
    <n v="3"/>
    <n v="300"/>
    <n v="900"/>
    <n v="13.5"/>
  </r>
  <r>
    <n v="134"/>
    <n v="25"/>
    <n v="1"/>
    <n v="2023"/>
    <d v="2023-01-25T00:00:00"/>
    <s v="CUST134"/>
    <x v="0"/>
    <x v="19"/>
    <x v="0"/>
    <x v="2"/>
    <n v="1"/>
    <n v="50"/>
    <n v="50"/>
    <n v="0.75"/>
  </r>
  <r>
    <n v="135"/>
    <n v="26"/>
    <n v="2"/>
    <n v="2023"/>
    <d v="2023-02-26T00:00:00"/>
    <s v="CUST135"/>
    <x v="0"/>
    <x v="29"/>
    <x v="1"/>
    <x v="1"/>
    <n v="2"/>
    <n v="25"/>
    <n v="50"/>
    <n v="0.75"/>
  </r>
  <r>
    <n v="136"/>
    <n v="20"/>
    <n v="3"/>
    <n v="2023"/>
    <d v="2023-03-20T00:00:00"/>
    <s v="CUST136"/>
    <x v="0"/>
    <x v="24"/>
    <x v="0"/>
    <x v="2"/>
    <n v="2"/>
    <n v="300"/>
    <n v="600"/>
    <n v="9"/>
  </r>
  <r>
    <n v="137"/>
    <n v="18"/>
    <n v="11"/>
    <n v="2023"/>
    <d v="2023-11-18T00:00:00"/>
    <s v="CUST137"/>
    <x v="0"/>
    <x v="6"/>
    <x v="0"/>
    <x v="0"/>
    <n v="2"/>
    <n v="500"/>
    <n v="1000"/>
    <n v="15"/>
  </r>
  <r>
    <n v="138"/>
    <n v="23"/>
    <n v="3"/>
    <n v="2023"/>
    <d v="2023-03-23T00:00:00"/>
    <s v="CUST138"/>
    <x v="0"/>
    <x v="19"/>
    <x v="0"/>
    <x v="1"/>
    <n v="4"/>
    <n v="50"/>
    <n v="200"/>
    <n v="3"/>
  </r>
  <r>
    <n v="139"/>
    <n v="15"/>
    <n v="12"/>
    <n v="2023"/>
    <d v="2023-12-15T00:00:00"/>
    <s v="CUST139"/>
    <x v="0"/>
    <x v="32"/>
    <x v="0"/>
    <x v="0"/>
    <n v="4"/>
    <n v="500"/>
    <n v="2000"/>
    <n v="30"/>
  </r>
  <r>
    <n v="140"/>
    <n v="5"/>
    <n v="8"/>
    <n v="2023"/>
    <d v="2023-08-05T00:00:00"/>
    <s v="CUST140"/>
    <x v="0"/>
    <x v="21"/>
    <x v="0"/>
    <x v="2"/>
    <n v="1"/>
    <n v="30"/>
    <n v="30"/>
    <n v="0.44999999999999996"/>
  </r>
  <r>
    <n v="141"/>
    <n v="2"/>
    <n v="11"/>
    <n v="2023"/>
    <d v="2023-11-02T00:00:00"/>
    <s v="CUST141"/>
    <x v="1"/>
    <x v="11"/>
    <x v="1"/>
    <x v="2"/>
    <n v="1"/>
    <n v="50"/>
    <n v="50"/>
    <n v="0.75"/>
  </r>
  <r>
    <n v="142"/>
    <n v="2"/>
    <n v="2"/>
    <n v="2023"/>
    <d v="2023-02-02T00:00:00"/>
    <s v="CUST142"/>
    <x v="0"/>
    <x v="10"/>
    <x v="0"/>
    <x v="2"/>
    <n v="4"/>
    <n v="300"/>
    <n v="1200"/>
    <n v="18"/>
  </r>
  <r>
    <n v="143"/>
    <n v="17"/>
    <n v="7"/>
    <n v="2023"/>
    <d v="2023-07-17T00:00:00"/>
    <s v="CUST143"/>
    <x v="1"/>
    <x v="5"/>
    <x v="0"/>
    <x v="1"/>
    <n v="1"/>
    <n v="50"/>
    <n v="50"/>
    <n v="0.75"/>
  </r>
  <r>
    <n v="144"/>
    <n v="15"/>
    <n v="7"/>
    <n v="2023"/>
    <d v="2023-07-15T00:00:00"/>
    <s v="CUST144"/>
    <x v="1"/>
    <x v="42"/>
    <x v="2"/>
    <x v="0"/>
    <n v="3"/>
    <n v="500"/>
    <n v="1500"/>
    <n v="22.5"/>
  </r>
  <r>
    <n v="145"/>
    <n v="2"/>
    <n v="11"/>
    <n v="2023"/>
    <d v="2023-11-02T00:00:00"/>
    <s v="CUST145"/>
    <x v="1"/>
    <x v="23"/>
    <x v="0"/>
    <x v="1"/>
    <n v="3"/>
    <n v="25"/>
    <n v="75"/>
    <n v="1.125"/>
  </r>
  <r>
    <n v="146"/>
    <n v="28"/>
    <n v="8"/>
    <n v="2023"/>
    <d v="2023-08-28T00:00:00"/>
    <s v="CUST146"/>
    <x v="0"/>
    <x v="21"/>
    <x v="0"/>
    <x v="1"/>
    <n v="4"/>
    <n v="50"/>
    <n v="200"/>
    <n v="3"/>
  </r>
  <r>
    <n v="147"/>
    <n v="28"/>
    <n v="9"/>
    <n v="2023"/>
    <d v="2023-09-28T00:00:00"/>
    <s v="CUST147"/>
    <x v="0"/>
    <x v="9"/>
    <x v="1"/>
    <x v="2"/>
    <n v="1"/>
    <n v="300"/>
    <n v="300"/>
    <n v="4.5"/>
  </r>
  <r>
    <n v="148"/>
    <n v="9"/>
    <n v="5"/>
    <n v="2023"/>
    <d v="2023-05-09T00:00:00"/>
    <s v="CUST148"/>
    <x v="0"/>
    <x v="18"/>
    <x v="1"/>
    <x v="1"/>
    <n v="2"/>
    <n v="30"/>
    <n v="60"/>
    <n v="0.89999999999999991"/>
  </r>
  <r>
    <n v="149"/>
    <n v="11"/>
    <n v="10"/>
    <n v="2023"/>
    <d v="2023-10-11T00:00:00"/>
    <s v="CUST149"/>
    <x v="0"/>
    <x v="11"/>
    <x v="1"/>
    <x v="1"/>
    <n v="3"/>
    <n v="25"/>
    <n v="75"/>
    <n v="1.125"/>
  </r>
  <r>
    <n v="150"/>
    <n v="6"/>
    <n v="1"/>
    <n v="2023"/>
    <d v="2023-01-06T00:00:00"/>
    <s v="CUST150"/>
    <x v="1"/>
    <x v="26"/>
    <x v="2"/>
    <x v="2"/>
    <n v="4"/>
    <n v="30"/>
    <n v="120"/>
    <n v="1.7999999999999998"/>
  </r>
  <r>
    <n v="151"/>
    <n v="15"/>
    <n v="12"/>
    <n v="2023"/>
    <d v="2023-12-15T00:00:00"/>
    <s v="CUST151"/>
    <x v="0"/>
    <x v="38"/>
    <x v="1"/>
    <x v="1"/>
    <n v="1"/>
    <n v="50"/>
    <n v="50"/>
    <n v="0.75"/>
  </r>
  <r>
    <n v="152"/>
    <n v="28"/>
    <n v="2"/>
    <n v="2023"/>
    <d v="2023-02-28T00:00:00"/>
    <s v="CUST152"/>
    <x v="0"/>
    <x v="22"/>
    <x v="0"/>
    <x v="2"/>
    <n v="4"/>
    <n v="500"/>
    <n v="2000"/>
    <n v="30"/>
  </r>
  <r>
    <n v="153"/>
    <n v="16"/>
    <n v="12"/>
    <n v="2023"/>
    <d v="2023-12-16T00:00:00"/>
    <s v="CUST153"/>
    <x v="0"/>
    <x v="7"/>
    <x v="2"/>
    <x v="2"/>
    <n v="2"/>
    <n v="500"/>
    <n v="1000"/>
    <n v="15"/>
  </r>
  <r>
    <n v="154"/>
    <n v="2"/>
    <n v="10"/>
    <n v="2023"/>
    <d v="2023-10-02T00:00:00"/>
    <s v="CUST154"/>
    <x v="0"/>
    <x v="25"/>
    <x v="2"/>
    <x v="2"/>
    <n v="3"/>
    <n v="300"/>
    <n v="900"/>
    <n v="13.5"/>
  </r>
  <r>
    <n v="155"/>
    <n v="17"/>
    <n v="5"/>
    <n v="2023"/>
    <d v="2023-05-17T00:00:00"/>
    <s v="CUST155"/>
    <x v="0"/>
    <x v="33"/>
    <x v="0"/>
    <x v="2"/>
    <n v="4"/>
    <n v="500"/>
    <n v="2000"/>
    <n v="30"/>
  </r>
  <r>
    <n v="156"/>
    <n v="25"/>
    <n v="11"/>
    <n v="2023"/>
    <d v="2023-11-25T00:00:00"/>
    <s v="CUST156"/>
    <x v="1"/>
    <x v="22"/>
    <x v="0"/>
    <x v="1"/>
    <n v="4"/>
    <n v="25"/>
    <n v="100"/>
    <n v="1.5"/>
  </r>
  <r>
    <n v="157"/>
    <n v="24"/>
    <n v="6"/>
    <n v="2023"/>
    <d v="2023-06-24T00:00:00"/>
    <s v="CUST157"/>
    <x v="0"/>
    <x v="17"/>
    <x v="2"/>
    <x v="2"/>
    <n v="4"/>
    <n v="500"/>
    <n v="2000"/>
    <n v="30"/>
  </r>
  <r>
    <n v="158"/>
    <n v="27"/>
    <n v="2"/>
    <n v="2023"/>
    <d v="2023-02-27T00:00:00"/>
    <s v="CUST158"/>
    <x v="1"/>
    <x v="24"/>
    <x v="0"/>
    <x v="2"/>
    <n v="2"/>
    <n v="300"/>
    <n v="600"/>
    <n v="9"/>
  </r>
  <r>
    <n v="159"/>
    <n v="31"/>
    <n v="5"/>
    <n v="2023"/>
    <d v="2023-05-31T00:00:00"/>
    <s v="CUST159"/>
    <x v="0"/>
    <x v="1"/>
    <x v="1"/>
    <x v="1"/>
    <n v="4"/>
    <n v="50"/>
    <n v="200"/>
    <n v="3"/>
  </r>
  <r>
    <n v="160"/>
    <n v="11"/>
    <n v="8"/>
    <n v="2023"/>
    <d v="2023-08-11T00:00:00"/>
    <s v="CUST160"/>
    <x v="1"/>
    <x v="22"/>
    <x v="0"/>
    <x v="1"/>
    <n v="2"/>
    <n v="50"/>
    <n v="100"/>
    <n v="1.5"/>
  </r>
  <r>
    <n v="161"/>
    <n v="22"/>
    <n v="3"/>
    <n v="2023"/>
    <d v="2023-03-22T00:00:00"/>
    <s v="CUST161"/>
    <x v="0"/>
    <x v="12"/>
    <x v="2"/>
    <x v="0"/>
    <n v="2"/>
    <n v="500"/>
    <n v="1000"/>
    <n v="15"/>
  </r>
  <r>
    <n v="162"/>
    <n v="21"/>
    <n v="8"/>
    <n v="2023"/>
    <d v="2023-08-21T00:00:00"/>
    <s v="CUST162"/>
    <x v="0"/>
    <x v="23"/>
    <x v="0"/>
    <x v="1"/>
    <n v="2"/>
    <n v="30"/>
    <n v="60"/>
    <n v="0.89999999999999991"/>
  </r>
  <r>
    <n v="163"/>
    <n v="2"/>
    <n v="1"/>
    <n v="2023"/>
    <d v="2023-01-02T00:00:00"/>
    <s v="CUST163"/>
    <x v="1"/>
    <x v="12"/>
    <x v="2"/>
    <x v="1"/>
    <n v="3"/>
    <n v="50"/>
    <n v="150"/>
    <n v="2.25"/>
  </r>
  <r>
    <n v="164"/>
    <n v="15"/>
    <n v="5"/>
    <n v="2023"/>
    <d v="2023-05-15T00:00:00"/>
    <s v="CUST164"/>
    <x v="1"/>
    <x v="16"/>
    <x v="0"/>
    <x v="0"/>
    <n v="3"/>
    <n v="500"/>
    <n v="1500"/>
    <n v="22.5"/>
  </r>
  <r>
    <n v="165"/>
    <n v="14"/>
    <n v="9"/>
    <n v="2023"/>
    <d v="2023-09-14T00:00:00"/>
    <s v="CUST165"/>
    <x v="1"/>
    <x v="43"/>
    <x v="2"/>
    <x v="1"/>
    <n v="4"/>
    <n v="300"/>
    <n v="1200"/>
    <n v="18"/>
  </r>
  <r>
    <n v="166"/>
    <n v="2"/>
    <n v="4"/>
    <n v="2023"/>
    <d v="2023-04-02T00:00:00"/>
    <s v="CUST166"/>
    <x v="0"/>
    <x v="0"/>
    <x v="0"/>
    <x v="1"/>
    <n v="4"/>
    <n v="500"/>
    <n v="2000"/>
    <n v="30"/>
  </r>
  <r>
    <n v="167"/>
    <n v="17"/>
    <n v="9"/>
    <n v="2023"/>
    <d v="2023-09-17T00:00:00"/>
    <s v="CUST167"/>
    <x v="1"/>
    <x v="22"/>
    <x v="0"/>
    <x v="1"/>
    <n v="3"/>
    <n v="50"/>
    <n v="150"/>
    <n v="2.25"/>
  </r>
  <r>
    <n v="168"/>
    <n v="24"/>
    <n v="2"/>
    <n v="2023"/>
    <d v="2023-02-24T00:00:00"/>
    <s v="CUST168"/>
    <x v="0"/>
    <x v="45"/>
    <x v="2"/>
    <x v="1"/>
    <n v="1"/>
    <n v="300"/>
    <n v="300"/>
    <n v="4.5"/>
  </r>
  <r>
    <n v="169"/>
    <n v="17"/>
    <n v="11"/>
    <n v="2023"/>
    <d v="2023-11-17T00:00:00"/>
    <s v="CUST169"/>
    <x v="0"/>
    <x v="18"/>
    <x v="1"/>
    <x v="0"/>
    <n v="3"/>
    <n v="500"/>
    <n v="1500"/>
    <n v="22.5"/>
  </r>
  <r>
    <n v="170"/>
    <n v="2"/>
    <n v="6"/>
    <n v="2023"/>
    <d v="2023-06-02T00:00:00"/>
    <s v="CUST170"/>
    <x v="1"/>
    <x v="36"/>
    <x v="1"/>
    <x v="1"/>
    <n v="2"/>
    <n v="25"/>
    <n v="50"/>
    <n v="0.75"/>
  </r>
  <r>
    <n v="171"/>
    <n v="24"/>
    <n v="11"/>
    <n v="2023"/>
    <d v="2023-11-24T00:00:00"/>
    <s v="CUST171"/>
    <x v="1"/>
    <x v="8"/>
    <x v="2"/>
    <x v="1"/>
    <n v="3"/>
    <n v="300"/>
    <n v="900"/>
    <n v="13.5"/>
  </r>
  <r>
    <n v="172"/>
    <n v="17"/>
    <n v="9"/>
    <n v="2023"/>
    <d v="2023-09-17T00:00:00"/>
    <s v="CUST172"/>
    <x v="0"/>
    <x v="40"/>
    <x v="0"/>
    <x v="0"/>
    <n v="2"/>
    <n v="25"/>
    <n v="50"/>
    <n v="0.75"/>
  </r>
  <r>
    <n v="173"/>
    <n v="8"/>
    <n v="11"/>
    <n v="2023"/>
    <d v="2023-11-08T00:00:00"/>
    <s v="CUST173"/>
    <x v="0"/>
    <x v="12"/>
    <x v="2"/>
    <x v="2"/>
    <n v="4"/>
    <n v="30"/>
    <n v="120"/>
    <n v="1.7999999999999998"/>
  </r>
  <r>
    <n v="174"/>
    <n v="12"/>
    <n v="4"/>
    <n v="2023"/>
    <d v="2023-04-12T00:00:00"/>
    <s v="CUST174"/>
    <x v="1"/>
    <x v="23"/>
    <x v="0"/>
    <x v="0"/>
    <n v="1"/>
    <n v="300"/>
    <n v="300"/>
    <n v="4.5"/>
  </r>
  <r>
    <n v="175"/>
    <n v="20"/>
    <n v="3"/>
    <n v="2023"/>
    <d v="2023-03-20T00:00:00"/>
    <s v="CUST175"/>
    <x v="1"/>
    <x v="33"/>
    <x v="0"/>
    <x v="2"/>
    <n v="4"/>
    <n v="25"/>
    <n v="100"/>
    <n v="1.5"/>
  </r>
  <r>
    <n v="176"/>
    <n v="11"/>
    <n v="7"/>
    <n v="2023"/>
    <d v="2023-07-11T00:00:00"/>
    <s v="CUST176"/>
    <x v="1"/>
    <x v="22"/>
    <x v="0"/>
    <x v="0"/>
    <n v="2"/>
    <n v="50"/>
    <n v="100"/>
    <n v="1.5"/>
  </r>
  <r>
    <n v="177"/>
    <n v="24"/>
    <n v="3"/>
    <n v="2023"/>
    <d v="2023-03-24T00:00:00"/>
    <s v="CUST177"/>
    <x v="0"/>
    <x v="5"/>
    <x v="0"/>
    <x v="0"/>
    <n v="2"/>
    <n v="50"/>
    <n v="100"/>
    <n v="1.5"/>
  </r>
  <r>
    <n v="178"/>
    <n v="4"/>
    <n v="10"/>
    <n v="2023"/>
    <d v="2023-10-04T00:00:00"/>
    <s v="CUST178"/>
    <x v="0"/>
    <x v="30"/>
    <x v="0"/>
    <x v="1"/>
    <n v="2"/>
    <n v="30"/>
    <n v="60"/>
    <n v="0.89999999999999991"/>
  </r>
  <r>
    <n v="179"/>
    <n v="29"/>
    <n v="9"/>
    <n v="2023"/>
    <d v="2023-09-29T00:00:00"/>
    <s v="CUST179"/>
    <x v="0"/>
    <x v="33"/>
    <x v="0"/>
    <x v="2"/>
    <n v="1"/>
    <n v="300"/>
    <n v="300"/>
    <n v="4.5"/>
  </r>
  <r>
    <n v="180"/>
    <n v="1"/>
    <n v="1"/>
    <n v="2023"/>
    <d v="2023-01-01T00:00:00"/>
    <s v="CUST180"/>
    <x v="0"/>
    <x v="41"/>
    <x v="0"/>
    <x v="1"/>
    <n v="3"/>
    <n v="300"/>
    <n v="900"/>
    <n v="13.5"/>
  </r>
  <r>
    <n v="181"/>
    <n v="3"/>
    <n v="11"/>
    <n v="2023"/>
    <d v="2023-11-03T00:00:00"/>
    <s v="CUST181"/>
    <x v="0"/>
    <x v="14"/>
    <x v="1"/>
    <x v="2"/>
    <n v="4"/>
    <n v="300"/>
    <n v="1200"/>
    <n v="18"/>
  </r>
  <r>
    <n v="182"/>
    <n v="15"/>
    <n v="6"/>
    <n v="2023"/>
    <d v="2023-06-15T00:00:00"/>
    <s v="CUST182"/>
    <x v="0"/>
    <x v="17"/>
    <x v="2"/>
    <x v="0"/>
    <n v="4"/>
    <n v="30"/>
    <n v="120"/>
    <n v="1.7999999999999998"/>
  </r>
  <r>
    <n v="183"/>
    <n v="8"/>
    <n v="9"/>
    <n v="2023"/>
    <d v="2023-09-08T00:00:00"/>
    <s v="CUST183"/>
    <x v="1"/>
    <x v="22"/>
    <x v="0"/>
    <x v="0"/>
    <n v="3"/>
    <n v="300"/>
    <n v="900"/>
    <n v="13.5"/>
  </r>
  <r>
    <n v="184"/>
    <n v="10"/>
    <n v="1"/>
    <n v="2023"/>
    <d v="2023-01-10T00:00:00"/>
    <s v="CUST184"/>
    <x v="0"/>
    <x v="33"/>
    <x v="0"/>
    <x v="2"/>
    <n v="4"/>
    <n v="50"/>
    <n v="200"/>
    <n v="3"/>
  </r>
  <r>
    <n v="185"/>
    <n v="27"/>
    <n v="2"/>
    <n v="2023"/>
    <d v="2023-02-27T00:00:00"/>
    <s v="CUST185"/>
    <x v="0"/>
    <x v="46"/>
    <x v="1"/>
    <x v="1"/>
    <n v="1"/>
    <n v="25"/>
    <n v="25"/>
    <n v="0.375"/>
  </r>
  <r>
    <n v="186"/>
    <n v="5"/>
    <n v="7"/>
    <n v="2023"/>
    <d v="2023-07-05T00:00:00"/>
    <s v="CUST186"/>
    <x v="0"/>
    <x v="29"/>
    <x v="1"/>
    <x v="1"/>
    <n v="4"/>
    <n v="50"/>
    <n v="200"/>
    <n v="3"/>
  </r>
  <r>
    <n v="187"/>
    <n v="7"/>
    <n v="6"/>
    <n v="2023"/>
    <d v="2023-06-07T00:00:00"/>
    <s v="CUST187"/>
    <x v="1"/>
    <x v="12"/>
    <x v="2"/>
    <x v="1"/>
    <n v="2"/>
    <n v="50"/>
    <n v="100"/>
    <n v="1.5"/>
  </r>
  <r>
    <n v="188"/>
    <n v="3"/>
    <n v="5"/>
    <n v="2023"/>
    <d v="2023-05-03T00:00:00"/>
    <s v="CUST188"/>
    <x v="0"/>
    <x v="30"/>
    <x v="0"/>
    <x v="1"/>
    <n v="3"/>
    <n v="25"/>
    <n v="75"/>
    <n v="1.125"/>
  </r>
  <r>
    <n v="189"/>
    <n v="30"/>
    <n v="1"/>
    <n v="2023"/>
    <d v="2023-01-30T00:00:00"/>
    <s v="CUST189"/>
    <x v="0"/>
    <x v="7"/>
    <x v="2"/>
    <x v="0"/>
    <n v="1"/>
    <n v="50"/>
    <n v="50"/>
    <n v="0.75"/>
  </r>
  <r>
    <n v="190"/>
    <n v="4"/>
    <n v="5"/>
    <n v="2023"/>
    <d v="2023-05-04T00:00:00"/>
    <s v="CUST190"/>
    <x v="1"/>
    <x v="43"/>
    <x v="2"/>
    <x v="0"/>
    <n v="3"/>
    <n v="30"/>
    <n v="90"/>
    <n v="1.3499999999999999"/>
  </r>
  <r>
    <n v="191"/>
    <n v="18"/>
    <n v="10"/>
    <n v="2023"/>
    <d v="2023-10-18T00:00:00"/>
    <s v="CUST191"/>
    <x v="0"/>
    <x v="12"/>
    <x v="2"/>
    <x v="0"/>
    <n v="1"/>
    <n v="25"/>
    <n v="25"/>
    <n v="0.375"/>
  </r>
  <r>
    <n v="192"/>
    <n v="10"/>
    <n v="2"/>
    <n v="2023"/>
    <d v="2023-02-10T00:00:00"/>
    <s v="CUST192"/>
    <x v="0"/>
    <x v="17"/>
    <x v="2"/>
    <x v="0"/>
    <n v="2"/>
    <n v="50"/>
    <n v="100"/>
    <n v="1.5"/>
  </r>
  <r>
    <n v="193"/>
    <n v="13"/>
    <n v="2"/>
    <n v="2023"/>
    <d v="2023-02-13T00:00:00"/>
    <s v="CUST193"/>
    <x v="0"/>
    <x v="10"/>
    <x v="0"/>
    <x v="0"/>
    <n v="3"/>
    <n v="500"/>
    <n v="1500"/>
    <n v="22.5"/>
  </r>
  <r>
    <n v="194"/>
    <n v="6"/>
    <n v="9"/>
    <n v="2023"/>
    <d v="2023-09-06T00:00:00"/>
    <s v="CUST194"/>
    <x v="0"/>
    <x v="28"/>
    <x v="2"/>
    <x v="1"/>
    <n v="4"/>
    <n v="50"/>
    <n v="200"/>
    <n v="3"/>
  </r>
  <r>
    <n v="195"/>
    <n v="5"/>
    <n v="2"/>
    <n v="2023"/>
    <d v="2023-02-05T00:00:00"/>
    <s v="CUST195"/>
    <x v="0"/>
    <x v="8"/>
    <x v="2"/>
    <x v="1"/>
    <n v="1"/>
    <n v="30"/>
    <n v="30"/>
    <n v="0.44999999999999996"/>
  </r>
  <r>
    <n v="196"/>
    <n v="30"/>
    <n v="9"/>
    <n v="2023"/>
    <d v="2023-09-30T00:00:00"/>
    <s v="CUST196"/>
    <x v="1"/>
    <x v="40"/>
    <x v="0"/>
    <x v="1"/>
    <n v="3"/>
    <n v="300"/>
    <n v="900"/>
    <n v="13.5"/>
  </r>
  <r>
    <n v="197"/>
    <n v="6"/>
    <n v="3"/>
    <n v="2023"/>
    <d v="2023-03-06T00:00:00"/>
    <s v="CUST197"/>
    <x v="1"/>
    <x v="13"/>
    <x v="0"/>
    <x v="1"/>
    <n v="4"/>
    <n v="50"/>
    <n v="200"/>
    <n v="3"/>
  </r>
  <r>
    <n v="198"/>
    <n v="7"/>
    <n v="3"/>
    <n v="2023"/>
    <d v="2023-03-07T00:00:00"/>
    <s v="CUST198"/>
    <x v="1"/>
    <x v="31"/>
    <x v="2"/>
    <x v="0"/>
    <n v="3"/>
    <n v="300"/>
    <n v="900"/>
    <n v="13.5"/>
  </r>
  <r>
    <n v="199"/>
    <n v="4"/>
    <n v="12"/>
    <n v="2023"/>
    <d v="2023-12-04T00:00:00"/>
    <s v="CUST199"/>
    <x v="0"/>
    <x v="5"/>
    <x v="0"/>
    <x v="0"/>
    <n v="3"/>
    <n v="500"/>
    <n v="1500"/>
    <n v="22.5"/>
  </r>
  <r>
    <n v="200"/>
    <n v="1"/>
    <n v="9"/>
    <n v="2023"/>
    <d v="2023-09-01T00:00:00"/>
    <s v="CUST200"/>
    <x v="0"/>
    <x v="15"/>
    <x v="1"/>
    <x v="0"/>
    <n v="3"/>
    <n v="50"/>
    <n v="150"/>
    <n v="2.25"/>
  </r>
  <r>
    <n v="201"/>
    <n v="9"/>
    <n v="10"/>
    <n v="2023"/>
    <d v="2023-10-09T00:00:00"/>
    <s v="CUST201"/>
    <x v="0"/>
    <x v="37"/>
    <x v="2"/>
    <x v="2"/>
    <n v="1"/>
    <n v="25"/>
    <n v="25"/>
    <n v="0.375"/>
  </r>
  <r>
    <n v="202"/>
    <n v="26"/>
    <n v="3"/>
    <n v="2023"/>
    <d v="2023-03-26T00:00:00"/>
    <s v="CUST202"/>
    <x v="1"/>
    <x v="0"/>
    <x v="0"/>
    <x v="1"/>
    <n v="4"/>
    <n v="300"/>
    <n v="1200"/>
    <n v="18"/>
  </r>
  <r>
    <n v="203"/>
    <n v="16"/>
    <n v="5"/>
    <n v="2023"/>
    <d v="2023-05-16T00:00:00"/>
    <s v="CUST203"/>
    <x v="0"/>
    <x v="37"/>
    <x v="2"/>
    <x v="1"/>
    <n v="2"/>
    <n v="500"/>
    <n v="1000"/>
    <n v="15"/>
  </r>
  <r>
    <n v="204"/>
    <n v="28"/>
    <n v="9"/>
    <n v="2023"/>
    <d v="2023-09-28T00:00:00"/>
    <s v="CUST204"/>
    <x v="0"/>
    <x v="23"/>
    <x v="0"/>
    <x v="0"/>
    <n v="1"/>
    <n v="25"/>
    <n v="25"/>
    <n v="0.375"/>
  </r>
  <r>
    <n v="205"/>
    <n v="7"/>
    <n v="11"/>
    <n v="2023"/>
    <d v="2023-11-07T00:00:00"/>
    <s v="CUST205"/>
    <x v="1"/>
    <x v="22"/>
    <x v="0"/>
    <x v="1"/>
    <n v="1"/>
    <n v="25"/>
    <n v="25"/>
    <n v="0.375"/>
  </r>
  <r>
    <n v="206"/>
    <n v="5"/>
    <n v="8"/>
    <n v="2023"/>
    <d v="2023-08-05T00:00:00"/>
    <s v="CUST206"/>
    <x v="0"/>
    <x v="39"/>
    <x v="2"/>
    <x v="1"/>
    <n v="1"/>
    <n v="25"/>
    <n v="25"/>
    <n v="0.375"/>
  </r>
  <r>
    <n v="207"/>
    <n v="19"/>
    <n v="4"/>
    <n v="2023"/>
    <d v="2023-04-19T00:00:00"/>
    <s v="CUST207"/>
    <x v="1"/>
    <x v="13"/>
    <x v="0"/>
    <x v="0"/>
    <n v="2"/>
    <n v="25"/>
    <n v="50"/>
    <n v="0.75"/>
  </r>
  <r>
    <n v="208"/>
    <n v="4"/>
    <n v="10"/>
    <n v="2023"/>
    <d v="2023-10-04T00:00:00"/>
    <s v="CUST208"/>
    <x v="1"/>
    <x v="0"/>
    <x v="0"/>
    <x v="2"/>
    <n v="4"/>
    <n v="50"/>
    <n v="200"/>
    <n v="3"/>
  </r>
  <r>
    <n v="209"/>
    <n v="20"/>
    <n v="12"/>
    <n v="2023"/>
    <d v="2023-12-20T00:00:00"/>
    <s v="CUST209"/>
    <x v="1"/>
    <x v="4"/>
    <x v="0"/>
    <x v="2"/>
    <n v="4"/>
    <n v="50"/>
    <n v="200"/>
    <n v="3"/>
  </r>
  <r>
    <n v="210"/>
    <n v="13"/>
    <n v="4"/>
    <n v="2023"/>
    <d v="2023-04-13T00:00:00"/>
    <s v="CUST210"/>
    <x v="0"/>
    <x v="3"/>
    <x v="0"/>
    <x v="2"/>
    <n v="4"/>
    <n v="50"/>
    <n v="200"/>
    <n v="3"/>
  </r>
  <r>
    <n v="211"/>
    <n v="1"/>
    <n v="1"/>
    <n v="2024"/>
    <d v="2024-01-01T00:00:00"/>
    <s v="CUST211"/>
    <x v="0"/>
    <x v="13"/>
    <x v="0"/>
    <x v="0"/>
    <n v="3"/>
    <n v="500"/>
    <n v="1500"/>
    <n v="22.5"/>
  </r>
  <r>
    <n v="212"/>
    <n v="9"/>
    <n v="6"/>
    <n v="2023"/>
    <d v="2023-06-09T00:00:00"/>
    <s v="CUST212"/>
    <x v="0"/>
    <x v="34"/>
    <x v="1"/>
    <x v="1"/>
    <n v="3"/>
    <n v="500"/>
    <n v="1500"/>
    <n v="22.5"/>
  </r>
  <r>
    <n v="213"/>
    <n v="24"/>
    <n v="7"/>
    <n v="2023"/>
    <d v="2023-07-24T00:00:00"/>
    <s v="CUST213"/>
    <x v="0"/>
    <x v="15"/>
    <x v="1"/>
    <x v="0"/>
    <n v="3"/>
    <n v="500"/>
    <n v="1500"/>
    <n v="22.5"/>
  </r>
  <r>
    <n v="214"/>
    <n v="10"/>
    <n v="12"/>
    <n v="2023"/>
    <d v="2023-12-10T00:00:00"/>
    <s v="CUST214"/>
    <x v="0"/>
    <x v="29"/>
    <x v="1"/>
    <x v="0"/>
    <n v="2"/>
    <n v="30"/>
    <n v="60"/>
    <n v="0.89999999999999991"/>
  </r>
  <r>
    <n v="215"/>
    <n v="29"/>
    <n v="11"/>
    <n v="2023"/>
    <d v="2023-11-29T00:00:00"/>
    <s v="CUST215"/>
    <x v="0"/>
    <x v="26"/>
    <x v="2"/>
    <x v="1"/>
    <n v="3"/>
    <n v="500"/>
    <n v="1500"/>
    <n v="22.5"/>
  </r>
  <r>
    <n v="216"/>
    <n v="11"/>
    <n v="7"/>
    <n v="2023"/>
    <d v="2023-07-11T00:00:00"/>
    <s v="CUST216"/>
    <x v="0"/>
    <x v="17"/>
    <x v="2"/>
    <x v="2"/>
    <n v="2"/>
    <n v="50"/>
    <n v="100"/>
    <n v="1.5"/>
  </r>
  <r>
    <n v="217"/>
    <n v="13"/>
    <n v="8"/>
    <n v="2023"/>
    <d v="2023-08-13T00:00:00"/>
    <s v="CUST217"/>
    <x v="1"/>
    <x v="10"/>
    <x v="0"/>
    <x v="2"/>
    <n v="4"/>
    <n v="50"/>
    <n v="200"/>
    <n v="3"/>
  </r>
  <r>
    <n v="218"/>
    <n v="22"/>
    <n v="9"/>
    <n v="2023"/>
    <d v="2023-09-22T00:00:00"/>
    <s v="CUST218"/>
    <x v="0"/>
    <x v="12"/>
    <x v="2"/>
    <x v="0"/>
    <n v="3"/>
    <n v="30"/>
    <n v="90"/>
    <n v="1.3499999999999999"/>
  </r>
  <r>
    <n v="219"/>
    <n v="20"/>
    <n v="8"/>
    <n v="2023"/>
    <d v="2023-08-20T00:00:00"/>
    <s v="CUST219"/>
    <x v="1"/>
    <x v="45"/>
    <x v="2"/>
    <x v="2"/>
    <n v="3"/>
    <n v="30"/>
    <n v="90"/>
    <n v="1.3499999999999999"/>
  </r>
  <r>
    <n v="220"/>
    <n v="3"/>
    <n v="3"/>
    <n v="2023"/>
    <d v="2023-03-03T00:00:00"/>
    <s v="CUST220"/>
    <x v="0"/>
    <x v="12"/>
    <x v="2"/>
    <x v="0"/>
    <n v="1"/>
    <n v="500"/>
    <n v="500"/>
    <n v="7.5"/>
  </r>
  <r>
    <n v="221"/>
    <n v="7"/>
    <n v="5"/>
    <n v="2023"/>
    <d v="2023-05-07T00:00:00"/>
    <s v="CUST221"/>
    <x v="0"/>
    <x v="23"/>
    <x v="0"/>
    <x v="0"/>
    <n v="2"/>
    <n v="300"/>
    <n v="600"/>
    <n v="9"/>
  </r>
  <r>
    <n v="222"/>
    <n v="26"/>
    <n v="4"/>
    <n v="2023"/>
    <d v="2023-04-26T00:00:00"/>
    <s v="CUST222"/>
    <x v="0"/>
    <x v="25"/>
    <x v="2"/>
    <x v="1"/>
    <n v="4"/>
    <n v="30"/>
    <n v="120"/>
    <n v="1.7999999999999998"/>
  </r>
  <r>
    <n v="223"/>
    <n v="2"/>
    <n v="2"/>
    <n v="2023"/>
    <d v="2023-02-02T00:00:00"/>
    <s v="CUST223"/>
    <x v="1"/>
    <x v="12"/>
    <x v="2"/>
    <x v="1"/>
    <n v="1"/>
    <n v="25"/>
    <n v="25"/>
    <n v="0.375"/>
  </r>
  <r>
    <n v="224"/>
    <n v="23"/>
    <n v="6"/>
    <n v="2023"/>
    <d v="2023-06-23T00:00:00"/>
    <s v="CUST224"/>
    <x v="1"/>
    <x v="36"/>
    <x v="1"/>
    <x v="1"/>
    <n v="1"/>
    <n v="50"/>
    <n v="50"/>
    <n v="0.75"/>
  </r>
  <r>
    <n v="225"/>
    <n v="11"/>
    <n v="1"/>
    <n v="2023"/>
    <d v="2023-01-11T00:00:00"/>
    <s v="CUST225"/>
    <x v="1"/>
    <x v="35"/>
    <x v="2"/>
    <x v="0"/>
    <n v="4"/>
    <n v="25"/>
    <n v="100"/>
    <n v="1.5"/>
  </r>
  <r>
    <n v="226"/>
    <n v="29"/>
    <n v="10"/>
    <n v="2023"/>
    <d v="2023-10-29T00:00:00"/>
    <s v="CUST226"/>
    <x v="1"/>
    <x v="39"/>
    <x v="2"/>
    <x v="1"/>
    <n v="1"/>
    <n v="50"/>
    <n v="50"/>
    <n v="0.75"/>
  </r>
  <r>
    <n v="227"/>
    <n v="11"/>
    <n v="10"/>
    <n v="2023"/>
    <d v="2023-10-11T00:00:00"/>
    <s v="CUST227"/>
    <x v="0"/>
    <x v="32"/>
    <x v="0"/>
    <x v="2"/>
    <n v="2"/>
    <n v="50"/>
    <n v="100"/>
    <n v="1.5"/>
  </r>
  <r>
    <n v="228"/>
    <n v="28"/>
    <n v="4"/>
    <n v="2023"/>
    <d v="2023-04-28T00:00:00"/>
    <s v="CUST228"/>
    <x v="1"/>
    <x v="42"/>
    <x v="2"/>
    <x v="2"/>
    <n v="2"/>
    <n v="30"/>
    <n v="60"/>
    <n v="0.89999999999999991"/>
  </r>
  <r>
    <n v="229"/>
    <n v="29"/>
    <n v="10"/>
    <n v="2023"/>
    <d v="2023-10-29T00:00:00"/>
    <s v="CUST229"/>
    <x v="0"/>
    <x v="26"/>
    <x v="2"/>
    <x v="0"/>
    <n v="3"/>
    <n v="30"/>
    <n v="90"/>
    <n v="1.3499999999999999"/>
  </r>
  <r>
    <n v="230"/>
    <n v="23"/>
    <n v="4"/>
    <n v="2023"/>
    <d v="2023-04-23T00:00:00"/>
    <s v="CUST230"/>
    <x v="0"/>
    <x v="31"/>
    <x v="2"/>
    <x v="0"/>
    <n v="1"/>
    <n v="25"/>
    <n v="25"/>
    <n v="0.375"/>
  </r>
  <r>
    <n v="231"/>
    <n v="4"/>
    <n v="1"/>
    <n v="2023"/>
    <d v="2023-01-04T00:00:00"/>
    <s v="CUST231"/>
    <x v="1"/>
    <x v="9"/>
    <x v="1"/>
    <x v="1"/>
    <n v="3"/>
    <n v="50"/>
    <n v="150"/>
    <n v="2.25"/>
  </r>
  <r>
    <n v="232"/>
    <n v="6"/>
    <n v="2"/>
    <n v="2023"/>
    <d v="2023-02-06T00:00:00"/>
    <s v="CUST232"/>
    <x v="1"/>
    <x v="22"/>
    <x v="0"/>
    <x v="0"/>
    <n v="1"/>
    <n v="25"/>
    <n v="25"/>
    <n v="0.375"/>
  </r>
  <r>
    <n v="233"/>
    <n v="29"/>
    <n v="12"/>
    <n v="2023"/>
    <d v="2023-12-29T00:00:00"/>
    <s v="CUST233"/>
    <x v="1"/>
    <x v="25"/>
    <x v="2"/>
    <x v="0"/>
    <n v="2"/>
    <n v="300"/>
    <n v="600"/>
    <n v="9"/>
  </r>
  <r>
    <n v="234"/>
    <n v="20"/>
    <n v="11"/>
    <n v="2023"/>
    <d v="2023-11-20T00:00:00"/>
    <s v="CUST234"/>
    <x v="1"/>
    <x v="17"/>
    <x v="2"/>
    <x v="2"/>
    <n v="2"/>
    <n v="25"/>
    <n v="50"/>
    <n v="0.75"/>
  </r>
  <r>
    <n v="235"/>
    <n v="31"/>
    <n v="1"/>
    <n v="2023"/>
    <d v="2023-01-31T00:00:00"/>
    <s v="CUST235"/>
    <x v="1"/>
    <x v="9"/>
    <x v="1"/>
    <x v="2"/>
    <n v="2"/>
    <n v="500"/>
    <n v="1000"/>
    <n v="15"/>
  </r>
  <r>
    <n v="236"/>
    <n v="28"/>
    <n v="4"/>
    <n v="2023"/>
    <d v="2023-04-28T00:00:00"/>
    <s v="CUST236"/>
    <x v="1"/>
    <x v="31"/>
    <x v="2"/>
    <x v="1"/>
    <n v="1"/>
    <n v="25"/>
    <n v="25"/>
    <n v="0.375"/>
  </r>
  <r>
    <n v="237"/>
    <n v="4"/>
    <n v="2"/>
    <n v="2023"/>
    <d v="2023-02-04T00:00:00"/>
    <s v="CUST237"/>
    <x v="1"/>
    <x v="2"/>
    <x v="2"/>
    <x v="0"/>
    <n v="2"/>
    <n v="500"/>
    <n v="1000"/>
    <n v="15"/>
  </r>
  <r>
    <n v="238"/>
    <n v="17"/>
    <n v="1"/>
    <n v="2023"/>
    <d v="2023-01-17T00:00:00"/>
    <s v="CUST238"/>
    <x v="1"/>
    <x v="23"/>
    <x v="0"/>
    <x v="0"/>
    <n v="1"/>
    <n v="500"/>
    <n v="500"/>
    <n v="7.5"/>
  </r>
  <r>
    <n v="239"/>
    <n v="19"/>
    <n v="6"/>
    <n v="2023"/>
    <d v="2023-06-19T00:00:00"/>
    <s v="CUST239"/>
    <x v="0"/>
    <x v="21"/>
    <x v="0"/>
    <x v="2"/>
    <n v="3"/>
    <n v="500"/>
    <n v="1500"/>
    <n v="22.5"/>
  </r>
  <r>
    <n v="240"/>
    <n v="6"/>
    <n v="2"/>
    <n v="2023"/>
    <d v="2023-02-06T00:00:00"/>
    <s v="CUST240"/>
    <x v="1"/>
    <x v="9"/>
    <x v="1"/>
    <x v="0"/>
    <n v="1"/>
    <n v="300"/>
    <n v="300"/>
    <n v="4.5"/>
  </r>
  <r>
    <n v="241"/>
    <n v="21"/>
    <n v="9"/>
    <n v="2023"/>
    <d v="2023-09-21T00:00:00"/>
    <s v="CUST241"/>
    <x v="1"/>
    <x v="9"/>
    <x v="1"/>
    <x v="2"/>
    <n v="3"/>
    <n v="25"/>
    <n v="75"/>
    <n v="1.125"/>
  </r>
  <r>
    <n v="242"/>
    <n v="2"/>
    <n v="5"/>
    <n v="2023"/>
    <d v="2023-05-02T00:00:00"/>
    <s v="CUST242"/>
    <x v="0"/>
    <x v="34"/>
    <x v="1"/>
    <x v="1"/>
    <n v="1"/>
    <n v="25"/>
    <n v="25"/>
    <n v="0.375"/>
  </r>
  <r>
    <n v="243"/>
    <n v="23"/>
    <n v="5"/>
    <n v="2023"/>
    <d v="2023-05-23T00:00:00"/>
    <s v="CUST243"/>
    <x v="1"/>
    <x v="16"/>
    <x v="0"/>
    <x v="2"/>
    <n v="3"/>
    <n v="300"/>
    <n v="900"/>
    <n v="13.5"/>
  </r>
  <r>
    <n v="244"/>
    <n v="9"/>
    <n v="12"/>
    <n v="2023"/>
    <d v="2023-12-09T00:00:00"/>
    <s v="CUST244"/>
    <x v="0"/>
    <x v="20"/>
    <x v="1"/>
    <x v="0"/>
    <n v="2"/>
    <n v="50"/>
    <n v="100"/>
    <n v="1.5"/>
  </r>
  <r>
    <n v="245"/>
    <n v="6"/>
    <n v="9"/>
    <n v="2023"/>
    <d v="2023-09-06T00:00:00"/>
    <s v="CUST245"/>
    <x v="0"/>
    <x v="16"/>
    <x v="0"/>
    <x v="1"/>
    <n v="3"/>
    <n v="30"/>
    <n v="90"/>
    <n v="1.3499999999999999"/>
  </r>
  <r>
    <n v="246"/>
    <n v="20"/>
    <n v="4"/>
    <n v="2023"/>
    <d v="2023-04-20T00:00:00"/>
    <s v="CUST246"/>
    <x v="1"/>
    <x v="27"/>
    <x v="0"/>
    <x v="2"/>
    <n v="2"/>
    <n v="25"/>
    <n v="50"/>
    <n v="0.75"/>
  </r>
  <r>
    <n v="247"/>
    <n v="4"/>
    <n v="10"/>
    <n v="2023"/>
    <d v="2023-10-04T00:00:00"/>
    <s v="CUST247"/>
    <x v="0"/>
    <x v="41"/>
    <x v="0"/>
    <x v="2"/>
    <n v="2"/>
    <n v="30"/>
    <n v="60"/>
    <n v="0.89999999999999991"/>
  </r>
  <r>
    <n v="248"/>
    <n v="9"/>
    <n v="3"/>
    <n v="2023"/>
    <d v="2023-03-09T00:00:00"/>
    <s v="CUST248"/>
    <x v="0"/>
    <x v="1"/>
    <x v="1"/>
    <x v="1"/>
    <n v="3"/>
    <n v="300"/>
    <n v="900"/>
    <n v="13.5"/>
  </r>
  <r>
    <n v="249"/>
    <n v="20"/>
    <n v="10"/>
    <n v="2023"/>
    <d v="2023-10-20T00:00:00"/>
    <s v="CUST249"/>
    <x v="0"/>
    <x v="29"/>
    <x v="1"/>
    <x v="1"/>
    <n v="1"/>
    <n v="50"/>
    <n v="50"/>
    <n v="0.75"/>
  </r>
  <r>
    <n v="250"/>
    <n v="23"/>
    <n v="10"/>
    <n v="2023"/>
    <d v="2023-10-23T00:00:00"/>
    <s v="CUST250"/>
    <x v="0"/>
    <x v="27"/>
    <x v="0"/>
    <x v="2"/>
    <n v="1"/>
    <n v="50"/>
    <n v="50"/>
    <n v="0.75"/>
  </r>
  <r>
    <n v="251"/>
    <n v="31"/>
    <n v="8"/>
    <n v="2023"/>
    <d v="2023-08-31T00:00:00"/>
    <s v="CUST251"/>
    <x v="1"/>
    <x v="35"/>
    <x v="2"/>
    <x v="0"/>
    <n v="4"/>
    <n v="50"/>
    <n v="200"/>
    <n v="3"/>
  </r>
  <r>
    <n v="252"/>
    <n v="5"/>
    <n v="5"/>
    <n v="2023"/>
    <d v="2023-05-05T00:00:00"/>
    <s v="CUST252"/>
    <x v="0"/>
    <x v="31"/>
    <x v="2"/>
    <x v="2"/>
    <n v="1"/>
    <n v="300"/>
    <n v="300"/>
    <n v="4.5"/>
  </r>
  <r>
    <n v="253"/>
    <n v="31"/>
    <n v="8"/>
    <n v="2023"/>
    <d v="2023-08-31T00:00:00"/>
    <s v="CUST253"/>
    <x v="1"/>
    <x v="45"/>
    <x v="2"/>
    <x v="1"/>
    <n v="4"/>
    <n v="500"/>
    <n v="2000"/>
    <n v="30"/>
  </r>
  <r>
    <n v="254"/>
    <n v="28"/>
    <n v="7"/>
    <n v="2023"/>
    <d v="2023-07-28T00:00:00"/>
    <s v="CUST254"/>
    <x v="0"/>
    <x v="41"/>
    <x v="0"/>
    <x v="2"/>
    <n v="1"/>
    <n v="500"/>
    <n v="500"/>
    <n v="7.5"/>
  </r>
  <r>
    <n v="255"/>
    <n v="8"/>
    <n v="4"/>
    <n v="2023"/>
    <d v="2023-04-08T00:00:00"/>
    <s v="CUST255"/>
    <x v="0"/>
    <x v="27"/>
    <x v="0"/>
    <x v="1"/>
    <n v="1"/>
    <n v="30"/>
    <n v="30"/>
    <n v="0.44999999999999996"/>
  </r>
  <r>
    <n v="256"/>
    <n v="18"/>
    <n v="2"/>
    <n v="2023"/>
    <d v="2023-02-18T00:00:00"/>
    <s v="CUST256"/>
    <x v="0"/>
    <x v="9"/>
    <x v="1"/>
    <x v="1"/>
    <n v="2"/>
    <n v="500"/>
    <n v="1000"/>
    <n v="15"/>
  </r>
  <r>
    <n v="257"/>
    <n v="19"/>
    <n v="2"/>
    <n v="2023"/>
    <d v="2023-02-19T00:00:00"/>
    <s v="CUST257"/>
    <x v="0"/>
    <x v="14"/>
    <x v="1"/>
    <x v="0"/>
    <n v="4"/>
    <n v="500"/>
    <n v="2000"/>
    <n v="30"/>
  </r>
  <r>
    <n v="258"/>
    <n v="4"/>
    <n v="12"/>
    <n v="2023"/>
    <d v="2023-12-04T00:00:00"/>
    <s v="CUST258"/>
    <x v="1"/>
    <x v="3"/>
    <x v="0"/>
    <x v="1"/>
    <n v="1"/>
    <n v="50"/>
    <n v="50"/>
    <n v="0.75"/>
  </r>
  <r>
    <n v="259"/>
    <n v="9"/>
    <n v="8"/>
    <n v="2023"/>
    <d v="2023-08-09T00:00:00"/>
    <s v="CUST259"/>
    <x v="1"/>
    <x v="5"/>
    <x v="0"/>
    <x v="1"/>
    <n v="4"/>
    <n v="50"/>
    <n v="200"/>
    <n v="3"/>
  </r>
  <r>
    <n v="260"/>
    <n v="1"/>
    <n v="7"/>
    <n v="2023"/>
    <d v="2023-07-01T00:00:00"/>
    <s v="CUST260"/>
    <x v="0"/>
    <x v="20"/>
    <x v="1"/>
    <x v="0"/>
    <n v="2"/>
    <n v="30"/>
    <n v="60"/>
    <n v="0.89999999999999991"/>
  </r>
  <r>
    <n v="261"/>
    <n v="5"/>
    <n v="8"/>
    <n v="2023"/>
    <d v="2023-08-05T00:00:00"/>
    <s v="CUST261"/>
    <x v="0"/>
    <x v="34"/>
    <x v="1"/>
    <x v="1"/>
    <n v="2"/>
    <n v="25"/>
    <n v="50"/>
    <n v="0.75"/>
  </r>
  <r>
    <n v="262"/>
    <n v="30"/>
    <n v="7"/>
    <n v="2023"/>
    <d v="2023-07-30T00:00:00"/>
    <s v="CUST262"/>
    <x v="1"/>
    <x v="40"/>
    <x v="0"/>
    <x v="0"/>
    <n v="4"/>
    <n v="30"/>
    <n v="120"/>
    <n v="1.7999999999999998"/>
  </r>
  <r>
    <n v="263"/>
    <n v="28"/>
    <n v="8"/>
    <n v="2023"/>
    <d v="2023-08-28T00:00:00"/>
    <s v="CUST263"/>
    <x v="0"/>
    <x v="9"/>
    <x v="1"/>
    <x v="0"/>
    <n v="2"/>
    <n v="30"/>
    <n v="60"/>
    <n v="0.89999999999999991"/>
  </r>
  <r>
    <n v="264"/>
    <n v="28"/>
    <n v="1"/>
    <n v="2023"/>
    <d v="2023-01-28T00:00:00"/>
    <s v="CUST264"/>
    <x v="0"/>
    <x v="16"/>
    <x v="0"/>
    <x v="1"/>
    <n v="3"/>
    <n v="300"/>
    <n v="900"/>
    <n v="13.5"/>
  </r>
  <r>
    <n v="265"/>
    <n v="11"/>
    <n v="12"/>
    <n v="2023"/>
    <d v="2023-12-11T00:00:00"/>
    <s v="CUST265"/>
    <x v="0"/>
    <x v="28"/>
    <x v="2"/>
    <x v="1"/>
    <n v="3"/>
    <n v="300"/>
    <n v="900"/>
    <n v="13.5"/>
  </r>
  <r>
    <n v="266"/>
    <n v="1"/>
    <n v="12"/>
    <n v="2023"/>
    <d v="2023-12-01T00:00:00"/>
    <s v="CUST266"/>
    <x v="1"/>
    <x v="14"/>
    <x v="1"/>
    <x v="2"/>
    <n v="2"/>
    <n v="30"/>
    <n v="60"/>
    <n v="0.89999999999999991"/>
  </r>
  <r>
    <n v="267"/>
    <n v="27"/>
    <n v="11"/>
    <n v="2023"/>
    <d v="2023-11-27T00:00:00"/>
    <s v="CUST267"/>
    <x v="1"/>
    <x v="40"/>
    <x v="0"/>
    <x v="0"/>
    <n v="3"/>
    <n v="30"/>
    <n v="90"/>
    <n v="1.3499999999999999"/>
  </r>
  <r>
    <n v="268"/>
    <n v="20"/>
    <n v="2"/>
    <n v="2023"/>
    <d v="2023-02-20T00:00:00"/>
    <s v="CUST268"/>
    <x v="1"/>
    <x v="20"/>
    <x v="1"/>
    <x v="2"/>
    <n v="1"/>
    <n v="30"/>
    <n v="30"/>
    <n v="0.44999999999999996"/>
  </r>
  <r>
    <n v="269"/>
    <n v="1"/>
    <n v="2"/>
    <n v="2023"/>
    <d v="2023-02-01T00:00:00"/>
    <s v="CUST269"/>
    <x v="0"/>
    <x v="36"/>
    <x v="1"/>
    <x v="1"/>
    <n v="4"/>
    <n v="500"/>
    <n v="2000"/>
    <n v="30"/>
  </r>
  <r>
    <n v="270"/>
    <n v="26"/>
    <n v="7"/>
    <n v="2023"/>
    <d v="2023-07-26T00:00:00"/>
    <s v="CUST270"/>
    <x v="0"/>
    <x v="22"/>
    <x v="0"/>
    <x v="2"/>
    <n v="1"/>
    <n v="300"/>
    <n v="300"/>
    <n v="4.5"/>
  </r>
  <r>
    <n v="271"/>
    <n v="23"/>
    <n v="6"/>
    <n v="2023"/>
    <d v="2023-06-23T00:00:00"/>
    <s v="CUST271"/>
    <x v="1"/>
    <x v="17"/>
    <x v="2"/>
    <x v="0"/>
    <n v="4"/>
    <n v="30"/>
    <n v="120"/>
    <n v="1.7999999999999998"/>
  </r>
  <r>
    <n v="272"/>
    <n v="25"/>
    <n v="2"/>
    <n v="2023"/>
    <d v="2023-02-25T00:00:00"/>
    <s v="CUST272"/>
    <x v="1"/>
    <x v="39"/>
    <x v="2"/>
    <x v="2"/>
    <n v="2"/>
    <n v="50"/>
    <n v="100"/>
    <n v="1.5"/>
  </r>
  <r>
    <n v="273"/>
    <n v="8"/>
    <n v="5"/>
    <n v="2023"/>
    <d v="2023-05-08T00:00:00"/>
    <s v="CUST273"/>
    <x v="1"/>
    <x v="11"/>
    <x v="1"/>
    <x v="0"/>
    <n v="1"/>
    <n v="50"/>
    <n v="50"/>
    <n v="0.75"/>
  </r>
  <r>
    <n v="274"/>
    <n v="9"/>
    <n v="4"/>
    <n v="2023"/>
    <d v="2023-04-09T00:00:00"/>
    <s v="CUST274"/>
    <x v="1"/>
    <x v="9"/>
    <x v="1"/>
    <x v="1"/>
    <n v="2"/>
    <n v="500"/>
    <n v="1000"/>
    <n v="15"/>
  </r>
  <r>
    <n v="275"/>
    <n v="8"/>
    <n v="4"/>
    <n v="2023"/>
    <d v="2023-04-08T00:00:00"/>
    <s v="CUST275"/>
    <x v="0"/>
    <x v="22"/>
    <x v="0"/>
    <x v="1"/>
    <n v="2"/>
    <n v="500"/>
    <n v="1000"/>
    <n v="15"/>
  </r>
  <r>
    <n v="276"/>
    <n v="2"/>
    <n v="10"/>
    <n v="2023"/>
    <d v="2023-10-02T00:00:00"/>
    <s v="CUST276"/>
    <x v="1"/>
    <x v="34"/>
    <x v="1"/>
    <x v="0"/>
    <n v="4"/>
    <n v="25"/>
    <n v="100"/>
    <n v="1.5"/>
  </r>
  <r>
    <n v="277"/>
    <n v="18"/>
    <n v="8"/>
    <n v="2023"/>
    <d v="2023-08-18T00:00:00"/>
    <s v="CUST277"/>
    <x v="0"/>
    <x v="32"/>
    <x v="0"/>
    <x v="1"/>
    <n v="4"/>
    <n v="25"/>
    <n v="100"/>
    <n v="1.5"/>
  </r>
  <r>
    <n v="278"/>
    <n v="13"/>
    <n v="3"/>
    <n v="2023"/>
    <d v="2023-03-13T00:00:00"/>
    <s v="CUST278"/>
    <x v="1"/>
    <x v="3"/>
    <x v="0"/>
    <x v="1"/>
    <n v="4"/>
    <n v="25"/>
    <n v="100"/>
    <n v="1.5"/>
  </r>
  <r>
    <n v="279"/>
    <n v="5"/>
    <n v="8"/>
    <n v="2023"/>
    <d v="2023-08-05T00:00:00"/>
    <s v="CUST279"/>
    <x v="0"/>
    <x v="2"/>
    <x v="2"/>
    <x v="1"/>
    <n v="1"/>
    <n v="500"/>
    <n v="500"/>
    <n v="7.5"/>
  </r>
  <r>
    <n v="280"/>
    <n v="4"/>
    <n v="4"/>
    <n v="2023"/>
    <d v="2023-04-04T00:00:00"/>
    <s v="CUST280"/>
    <x v="1"/>
    <x v="3"/>
    <x v="0"/>
    <x v="1"/>
    <n v="3"/>
    <n v="500"/>
    <n v="1500"/>
    <n v="22.5"/>
  </r>
  <r>
    <n v="281"/>
    <n v="23"/>
    <n v="5"/>
    <n v="2023"/>
    <d v="2023-05-23T00:00:00"/>
    <s v="CUST281"/>
    <x v="1"/>
    <x v="38"/>
    <x v="1"/>
    <x v="0"/>
    <n v="4"/>
    <n v="500"/>
    <n v="2000"/>
    <n v="30"/>
  </r>
  <r>
    <n v="282"/>
    <n v="25"/>
    <n v="8"/>
    <n v="2023"/>
    <d v="2023-08-25T00:00:00"/>
    <s v="CUST282"/>
    <x v="1"/>
    <x v="12"/>
    <x v="2"/>
    <x v="2"/>
    <n v="4"/>
    <n v="50"/>
    <n v="200"/>
    <n v="3"/>
  </r>
  <r>
    <n v="283"/>
    <n v="8"/>
    <n v="5"/>
    <n v="2023"/>
    <d v="2023-05-08T00:00:00"/>
    <s v="CUST283"/>
    <x v="1"/>
    <x v="18"/>
    <x v="1"/>
    <x v="2"/>
    <n v="1"/>
    <n v="500"/>
    <n v="500"/>
    <n v="7.5"/>
  </r>
  <r>
    <n v="284"/>
    <n v="8"/>
    <n v="2"/>
    <n v="2023"/>
    <d v="2023-02-08T00:00:00"/>
    <s v="CUST284"/>
    <x v="0"/>
    <x v="22"/>
    <x v="0"/>
    <x v="1"/>
    <n v="4"/>
    <n v="50"/>
    <n v="200"/>
    <n v="3"/>
  </r>
  <r>
    <n v="285"/>
    <n v="15"/>
    <n v="8"/>
    <n v="2023"/>
    <d v="2023-08-15T00:00:00"/>
    <s v="CUST285"/>
    <x v="1"/>
    <x v="33"/>
    <x v="0"/>
    <x v="2"/>
    <n v="1"/>
    <n v="25"/>
    <n v="25"/>
    <n v="0.375"/>
  </r>
  <r>
    <n v="286"/>
    <n v="9"/>
    <n v="10"/>
    <n v="2023"/>
    <d v="2023-10-09T00:00:00"/>
    <s v="CUST286"/>
    <x v="0"/>
    <x v="28"/>
    <x v="2"/>
    <x v="2"/>
    <n v="2"/>
    <n v="25"/>
    <n v="50"/>
    <n v="0.75"/>
  </r>
  <r>
    <n v="287"/>
    <n v="20"/>
    <n v="2"/>
    <n v="2023"/>
    <d v="2023-02-20T00:00:00"/>
    <s v="CUST287"/>
    <x v="0"/>
    <x v="31"/>
    <x v="2"/>
    <x v="1"/>
    <n v="4"/>
    <n v="25"/>
    <n v="100"/>
    <n v="1.5"/>
  </r>
  <r>
    <n v="288"/>
    <n v="26"/>
    <n v="1"/>
    <n v="2023"/>
    <d v="2023-01-26T00:00:00"/>
    <s v="CUST288"/>
    <x v="0"/>
    <x v="20"/>
    <x v="1"/>
    <x v="1"/>
    <n v="4"/>
    <n v="30"/>
    <n v="120"/>
    <n v="1.7999999999999998"/>
  </r>
  <r>
    <n v="289"/>
    <n v="30"/>
    <n v="11"/>
    <n v="2023"/>
    <d v="2023-11-30T00:00:00"/>
    <s v="CUST289"/>
    <x v="0"/>
    <x v="45"/>
    <x v="2"/>
    <x v="2"/>
    <n v="2"/>
    <n v="30"/>
    <n v="60"/>
    <n v="0.89999999999999991"/>
  </r>
  <r>
    <n v="290"/>
    <n v="4"/>
    <n v="10"/>
    <n v="2023"/>
    <d v="2023-10-04T00:00:00"/>
    <s v="CUST290"/>
    <x v="1"/>
    <x v="4"/>
    <x v="0"/>
    <x v="0"/>
    <n v="2"/>
    <n v="300"/>
    <n v="600"/>
    <n v="9"/>
  </r>
  <r>
    <n v="291"/>
    <n v="8"/>
    <n v="1"/>
    <n v="2023"/>
    <d v="2023-01-08T00:00:00"/>
    <s v="CUST291"/>
    <x v="0"/>
    <x v="43"/>
    <x v="2"/>
    <x v="1"/>
    <n v="2"/>
    <n v="300"/>
    <n v="600"/>
    <n v="9"/>
  </r>
  <r>
    <n v="292"/>
    <n v="17"/>
    <n v="2"/>
    <n v="2023"/>
    <d v="2023-02-17T00:00:00"/>
    <s v="CUST292"/>
    <x v="0"/>
    <x v="29"/>
    <x v="1"/>
    <x v="0"/>
    <n v="4"/>
    <n v="300"/>
    <n v="1200"/>
    <n v="18"/>
  </r>
  <r>
    <n v="293"/>
    <n v="2"/>
    <n v="5"/>
    <n v="2023"/>
    <d v="2023-05-02T00:00:00"/>
    <s v="CUST293"/>
    <x v="0"/>
    <x v="2"/>
    <x v="2"/>
    <x v="2"/>
    <n v="3"/>
    <n v="30"/>
    <n v="90"/>
    <n v="1.3499999999999999"/>
  </r>
  <r>
    <n v="294"/>
    <n v="27"/>
    <n v="3"/>
    <n v="2023"/>
    <d v="2023-03-27T00:00:00"/>
    <s v="CUST294"/>
    <x v="1"/>
    <x v="9"/>
    <x v="1"/>
    <x v="1"/>
    <n v="3"/>
    <n v="30"/>
    <n v="90"/>
    <n v="1.3499999999999999"/>
  </r>
  <r>
    <n v="295"/>
    <n v="28"/>
    <n v="7"/>
    <n v="2023"/>
    <d v="2023-07-28T00:00:00"/>
    <s v="CUST295"/>
    <x v="1"/>
    <x v="15"/>
    <x v="1"/>
    <x v="0"/>
    <n v="3"/>
    <n v="300"/>
    <n v="900"/>
    <n v="13.5"/>
  </r>
  <r>
    <n v="296"/>
    <n v="6"/>
    <n v="9"/>
    <n v="2023"/>
    <d v="2023-09-06T00:00:00"/>
    <s v="CUST296"/>
    <x v="1"/>
    <x v="11"/>
    <x v="1"/>
    <x v="1"/>
    <n v="4"/>
    <n v="300"/>
    <n v="1200"/>
    <n v="18"/>
  </r>
  <r>
    <n v="297"/>
    <n v="4"/>
    <n v="9"/>
    <n v="2023"/>
    <d v="2023-09-04T00:00:00"/>
    <s v="CUST297"/>
    <x v="1"/>
    <x v="30"/>
    <x v="0"/>
    <x v="2"/>
    <n v="2"/>
    <n v="500"/>
    <n v="1000"/>
    <n v="15"/>
  </r>
  <r>
    <n v="298"/>
    <n v="20"/>
    <n v="4"/>
    <n v="2023"/>
    <d v="2023-04-20T00:00:00"/>
    <s v="CUST298"/>
    <x v="0"/>
    <x v="15"/>
    <x v="1"/>
    <x v="0"/>
    <n v="4"/>
    <n v="300"/>
    <n v="1200"/>
    <n v="18"/>
  </r>
  <r>
    <n v="299"/>
    <n v="25"/>
    <n v="7"/>
    <n v="2023"/>
    <d v="2023-07-25T00:00:00"/>
    <s v="CUST299"/>
    <x v="0"/>
    <x v="39"/>
    <x v="2"/>
    <x v="2"/>
    <n v="2"/>
    <n v="500"/>
    <n v="1000"/>
    <n v="15"/>
  </r>
  <r>
    <n v="300"/>
    <n v="31"/>
    <n v="1"/>
    <n v="2023"/>
    <d v="2023-01-31T00:00:00"/>
    <s v="CUST300"/>
    <x v="1"/>
    <x v="14"/>
    <x v="1"/>
    <x v="2"/>
    <n v="4"/>
    <n v="50"/>
    <n v="200"/>
    <n v="3"/>
  </r>
  <r>
    <n v="301"/>
    <n v="26"/>
    <n v="3"/>
    <n v="2023"/>
    <d v="2023-03-26T00:00:00"/>
    <s v="CUST301"/>
    <x v="0"/>
    <x v="4"/>
    <x v="0"/>
    <x v="1"/>
    <n v="4"/>
    <n v="30"/>
    <n v="120"/>
    <n v="1.7999999999999998"/>
  </r>
  <r>
    <n v="302"/>
    <n v="14"/>
    <n v="7"/>
    <n v="2023"/>
    <d v="2023-07-14T00:00:00"/>
    <s v="CUST302"/>
    <x v="0"/>
    <x v="35"/>
    <x v="2"/>
    <x v="0"/>
    <n v="2"/>
    <n v="300"/>
    <n v="600"/>
    <n v="9"/>
  </r>
  <r>
    <n v="303"/>
    <n v="2"/>
    <n v="1"/>
    <n v="2023"/>
    <d v="2023-01-02T00:00:00"/>
    <s v="CUST303"/>
    <x v="0"/>
    <x v="14"/>
    <x v="1"/>
    <x v="2"/>
    <n v="3"/>
    <n v="30"/>
    <n v="90"/>
    <n v="1.3499999999999999"/>
  </r>
  <r>
    <n v="304"/>
    <n v="19"/>
    <n v="7"/>
    <n v="2023"/>
    <d v="2023-07-19T00:00:00"/>
    <s v="CUST304"/>
    <x v="1"/>
    <x v="3"/>
    <x v="0"/>
    <x v="2"/>
    <n v="2"/>
    <n v="30"/>
    <n v="60"/>
    <n v="0.89999999999999991"/>
  </r>
  <r>
    <n v="305"/>
    <n v="16"/>
    <n v="5"/>
    <n v="2023"/>
    <d v="2023-05-16T00:00:00"/>
    <s v="CUST305"/>
    <x v="1"/>
    <x v="18"/>
    <x v="1"/>
    <x v="0"/>
    <n v="1"/>
    <n v="30"/>
    <n v="30"/>
    <n v="0.44999999999999996"/>
  </r>
  <r>
    <n v="306"/>
    <n v="21"/>
    <n v="8"/>
    <n v="2023"/>
    <d v="2023-08-21T00:00:00"/>
    <s v="CUST306"/>
    <x v="0"/>
    <x v="31"/>
    <x v="2"/>
    <x v="2"/>
    <n v="1"/>
    <n v="50"/>
    <n v="50"/>
    <n v="0.75"/>
  </r>
  <r>
    <n v="307"/>
    <n v="27"/>
    <n v="5"/>
    <n v="2023"/>
    <d v="2023-05-27T00:00:00"/>
    <s v="CUST307"/>
    <x v="1"/>
    <x v="1"/>
    <x v="1"/>
    <x v="2"/>
    <n v="2"/>
    <n v="25"/>
    <n v="50"/>
    <n v="0.75"/>
  </r>
  <r>
    <n v="308"/>
    <n v="5"/>
    <n v="8"/>
    <n v="2023"/>
    <d v="2023-08-05T00:00:00"/>
    <s v="CUST308"/>
    <x v="1"/>
    <x v="0"/>
    <x v="0"/>
    <x v="0"/>
    <n v="4"/>
    <n v="300"/>
    <n v="1200"/>
    <n v="18"/>
  </r>
  <r>
    <n v="309"/>
    <n v="23"/>
    <n v="12"/>
    <n v="2023"/>
    <d v="2023-12-23T00:00:00"/>
    <s v="CUST309"/>
    <x v="1"/>
    <x v="1"/>
    <x v="1"/>
    <x v="0"/>
    <n v="1"/>
    <n v="25"/>
    <n v="25"/>
    <n v="0.375"/>
  </r>
  <r>
    <n v="310"/>
    <n v="12"/>
    <n v="10"/>
    <n v="2023"/>
    <d v="2023-10-12T00:00:00"/>
    <s v="CUST310"/>
    <x v="1"/>
    <x v="20"/>
    <x v="1"/>
    <x v="0"/>
    <n v="1"/>
    <n v="25"/>
    <n v="25"/>
    <n v="0.375"/>
  </r>
  <r>
    <n v="311"/>
    <n v="5"/>
    <n v="12"/>
    <n v="2023"/>
    <d v="2023-12-05T00:00:00"/>
    <s v="CUST311"/>
    <x v="1"/>
    <x v="40"/>
    <x v="0"/>
    <x v="0"/>
    <n v="4"/>
    <n v="25"/>
    <n v="100"/>
    <n v="1.5"/>
  </r>
  <r>
    <n v="312"/>
    <n v="7"/>
    <n v="9"/>
    <n v="2023"/>
    <d v="2023-09-07T00:00:00"/>
    <s v="CUST312"/>
    <x v="0"/>
    <x v="41"/>
    <x v="0"/>
    <x v="1"/>
    <n v="4"/>
    <n v="30"/>
    <n v="120"/>
    <n v="1.7999999999999998"/>
  </r>
  <r>
    <n v="313"/>
    <n v="21"/>
    <n v="3"/>
    <n v="2023"/>
    <d v="2023-03-21T00:00:00"/>
    <s v="CUST313"/>
    <x v="1"/>
    <x v="28"/>
    <x v="2"/>
    <x v="0"/>
    <n v="3"/>
    <n v="500"/>
    <n v="1500"/>
    <n v="22.5"/>
  </r>
  <r>
    <n v="314"/>
    <n v="8"/>
    <n v="4"/>
    <n v="2023"/>
    <d v="2023-04-08T00:00:00"/>
    <s v="CUST314"/>
    <x v="0"/>
    <x v="8"/>
    <x v="2"/>
    <x v="1"/>
    <n v="4"/>
    <n v="30"/>
    <n v="120"/>
    <n v="1.7999999999999998"/>
  </r>
  <r>
    <n v="315"/>
    <n v="1"/>
    <n v="6"/>
    <n v="2023"/>
    <d v="2023-06-01T00:00:00"/>
    <s v="CUST315"/>
    <x v="0"/>
    <x v="16"/>
    <x v="0"/>
    <x v="1"/>
    <n v="2"/>
    <n v="30"/>
    <n v="60"/>
    <n v="0.89999999999999991"/>
  </r>
  <r>
    <n v="316"/>
    <n v="22"/>
    <n v="4"/>
    <n v="2023"/>
    <d v="2023-04-22T00:00:00"/>
    <s v="CUST316"/>
    <x v="1"/>
    <x v="27"/>
    <x v="0"/>
    <x v="1"/>
    <n v="2"/>
    <n v="25"/>
    <n v="50"/>
    <n v="0.75"/>
  </r>
  <r>
    <n v="317"/>
    <n v="30"/>
    <n v="1"/>
    <n v="2023"/>
    <d v="2023-01-30T00:00:00"/>
    <s v="CUST317"/>
    <x v="0"/>
    <x v="11"/>
    <x v="1"/>
    <x v="2"/>
    <n v="3"/>
    <n v="30"/>
    <n v="90"/>
    <n v="1.3499999999999999"/>
  </r>
  <r>
    <n v="318"/>
    <n v="24"/>
    <n v="10"/>
    <n v="2023"/>
    <d v="2023-10-24T00:00:00"/>
    <s v="CUST318"/>
    <x v="0"/>
    <x v="39"/>
    <x v="2"/>
    <x v="1"/>
    <n v="1"/>
    <n v="25"/>
    <n v="25"/>
    <n v="0.375"/>
  </r>
  <r>
    <n v="319"/>
    <n v="5"/>
    <n v="10"/>
    <n v="2023"/>
    <d v="2023-10-05T00:00:00"/>
    <s v="CUST319"/>
    <x v="0"/>
    <x v="33"/>
    <x v="0"/>
    <x v="1"/>
    <n v="1"/>
    <n v="500"/>
    <n v="500"/>
    <n v="7.5"/>
  </r>
  <r>
    <n v="320"/>
    <n v="1"/>
    <n v="2"/>
    <n v="2023"/>
    <d v="2023-02-01T00:00:00"/>
    <s v="CUST320"/>
    <x v="1"/>
    <x v="20"/>
    <x v="1"/>
    <x v="2"/>
    <n v="4"/>
    <n v="300"/>
    <n v="1200"/>
    <n v="18"/>
  </r>
  <r>
    <n v="321"/>
    <n v="10"/>
    <n v="6"/>
    <n v="2023"/>
    <d v="2023-06-10T00:00:00"/>
    <s v="CUST321"/>
    <x v="1"/>
    <x v="1"/>
    <x v="1"/>
    <x v="2"/>
    <n v="2"/>
    <n v="25"/>
    <n v="50"/>
    <n v="0.75"/>
  </r>
  <r>
    <n v="322"/>
    <n v="30"/>
    <n v="1"/>
    <n v="2023"/>
    <d v="2023-01-30T00:00:00"/>
    <s v="CUST322"/>
    <x v="0"/>
    <x v="25"/>
    <x v="2"/>
    <x v="2"/>
    <n v="1"/>
    <n v="500"/>
    <n v="500"/>
    <n v="7.5"/>
  </r>
  <r>
    <n v="323"/>
    <n v="26"/>
    <n v="1"/>
    <n v="2023"/>
    <d v="2023-01-26T00:00:00"/>
    <s v="CUST323"/>
    <x v="1"/>
    <x v="38"/>
    <x v="1"/>
    <x v="0"/>
    <n v="3"/>
    <n v="300"/>
    <n v="900"/>
    <n v="13.5"/>
  </r>
  <r>
    <n v="324"/>
    <n v="27"/>
    <n v="10"/>
    <n v="2023"/>
    <d v="2023-10-27T00:00:00"/>
    <s v="CUST324"/>
    <x v="1"/>
    <x v="8"/>
    <x v="2"/>
    <x v="2"/>
    <n v="3"/>
    <n v="50"/>
    <n v="150"/>
    <n v="2.25"/>
  </r>
  <r>
    <n v="325"/>
    <n v="2"/>
    <n v="9"/>
    <n v="2023"/>
    <d v="2023-09-02T00:00:00"/>
    <s v="CUST325"/>
    <x v="1"/>
    <x v="8"/>
    <x v="2"/>
    <x v="2"/>
    <n v="2"/>
    <n v="25"/>
    <n v="50"/>
    <n v="0.75"/>
  </r>
  <r>
    <n v="326"/>
    <n v="15"/>
    <n v="9"/>
    <n v="2023"/>
    <d v="2023-09-15T00:00:00"/>
    <s v="CUST326"/>
    <x v="1"/>
    <x v="18"/>
    <x v="1"/>
    <x v="1"/>
    <n v="3"/>
    <n v="25"/>
    <n v="75"/>
    <n v="1.125"/>
  </r>
  <r>
    <n v="327"/>
    <n v="29"/>
    <n v="9"/>
    <n v="2023"/>
    <d v="2023-09-29T00:00:00"/>
    <s v="CUST327"/>
    <x v="0"/>
    <x v="35"/>
    <x v="2"/>
    <x v="2"/>
    <n v="3"/>
    <n v="50"/>
    <n v="150"/>
    <n v="2.25"/>
  </r>
  <r>
    <n v="328"/>
    <n v="22"/>
    <n v="3"/>
    <n v="2023"/>
    <d v="2023-03-22T00:00:00"/>
    <s v="CUST328"/>
    <x v="0"/>
    <x v="23"/>
    <x v="0"/>
    <x v="0"/>
    <n v="2"/>
    <n v="50"/>
    <n v="100"/>
    <n v="1.5"/>
  </r>
  <r>
    <n v="329"/>
    <n v="30"/>
    <n v="1"/>
    <n v="2023"/>
    <d v="2023-01-30T00:00:00"/>
    <s v="CUST329"/>
    <x v="1"/>
    <x v="6"/>
    <x v="0"/>
    <x v="2"/>
    <n v="4"/>
    <n v="25"/>
    <n v="100"/>
    <n v="1.5"/>
  </r>
  <r>
    <n v="330"/>
    <n v="18"/>
    <n v="9"/>
    <n v="2023"/>
    <d v="2023-09-18T00:00:00"/>
    <s v="CUST330"/>
    <x v="1"/>
    <x v="36"/>
    <x v="1"/>
    <x v="0"/>
    <n v="4"/>
    <n v="50"/>
    <n v="200"/>
    <n v="3"/>
  </r>
  <r>
    <n v="331"/>
    <n v="11"/>
    <n v="2"/>
    <n v="2023"/>
    <d v="2023-02-11T00:00:00"/>
    <s v="CUST331"/>
    <x v="0"/>
    <x v="20"/>
    <x v="1"/>
    <x v="2"/>
    <n v="3"/>
    <n v="30"/>
    <n v="90"/>
    <n v="1.3499999999999999"/>
  </r>
  <r>
    <n v="332"/>
    <n v="6"/>
    <n v="4"/>
    <n v="2023"/>
    <d v="2023-04-06T00:00:00"/>
    <s v="CUST332"/>
    <x v="0"/>
    <x v="26"/>
    <x v="2"/>
    <x v="2"/>
    <n v="4"/>
    <n v="300"/>
    <n v="1200"/>
    <n v="18"/>
  </r>
  <r>
    <n v="333"/>
    <n v="5"/>
    <n v="2"/>
    <n v="2023"/>
    <d v="2023-02-05T00:00:00"/>
    <s v="CUST333"/>
    <x v="1"/>
    <x v="31"/>
    <x v="2"/>
    <x v="2"/>
    <n v="4"/>
    <n v="300"/>
    <n v="1200"/>
    <n v="18"/>
  </r>
  <r>
    <n v="334"/>
    <n v="1"/>
    <n v="11"/>
    <n v="2023"/>
    <d v="2023-11-01T00:00:00"/>
    <s v="CUST334"/>
    <x v="0"/>
    <x v="33"/>
    <x v="0"/>
    <x v="2"/>
    <n v="3"/>
    <n v="300"/>
    <n v="900"/>
    <n v="13.5"/>
  </r>
  <r>
    <n v="335"/>
    <n v="4"/>
    <n v="2"/>
    <n v="2023"/>
    <d v="2023-02-04T00:00:00"/>
    <s v="CUST335"/>
    <x v="1"/>
    <x v="16"/>
    <x v="0"/>
    <x v="0"/>
    <n v="4"/>
    <n v="30"/>
    <n v="120"/>
    <n v="1.7999999999999998"/>
  </r>
  <r>
    <n v="336"/>
    <n v="12"/>
    <n v="12"/>
    <n v="2023"/>
    <d v="2023-12-12T00:00:00"/>
    <s v="CUST336"/>
    <x v="1"/>
    <x v="8"/>
    <x v="2"/>
    <x v="0"/>
    <n v="3"/>
    <n v="50"/>
    <n v="150"/>
    <n v="2.25"/>
  </r>
  <r>
    <n v="337"/>
    <n v="1"/>
    <n v="5"/>
    <n v="2023"/>
    <d v="2023-05-01T00:00:00"/>
    <s v="CUST337"/>
    <x v="0"/>
    <x v="21"/>
    <x v="0"/>
    <x v="1"/>
    <n v="1"/>
    <n v="500"/>
    <n v="500"/>
    <n v="7.5"/>
  </r>
  <r>
    <n v="338"/>
    <n v="26"/>
    <n v="7"/>
    <n v="2023"/>
    <d v="2023-07-26T00:00:00"/>
    <s v="CUST338"/>
    <x v="0"/>
    <x v="31"/>
    <x v="2"/>
    <x v="0"/>
    <n v="2"/>
    <n v="50"/>
    <n v="100"/>
    <n v="1.5"/>
  </r>
  <r>
    <n v="339"/>
    <n v="3"/>
    <n v="3"/>
    <n v="2023"/>
    <d v="2023-03-03T00:00:00"/>
    <s v="CUST339"/>
    <x v="1"/>
    <x v="11"/>
    <x v="1"/>
    <x v="2"/>
    <n v="2"/>
    <n v="25"/>
    <n v="50"/>
    <n v="0.75"/>
  </r>
  <r>
    <n v="340"/>
    <n v="19"/>
    <n v="10"/>
    <n v="2023"/>
    <d v="2023-10-19T00:00:00"/>
    <s v="CUST340"/>
    <x v="1"/>
    <x v="32"/>
    <x v="0"/>
    <x v="1"/>
    <n v="4"/>
    <n v="300"/>
    <n v="1200"/>
    <n v="18"/>
  </r>
  <r>
    <n v="341"/>
    <n v="7"/>
    <n v="5"/>
    <n v="2023"/>
    <d v="2023-05-07T00:00:00"/>
    <s v="CUST341"/>
    <x v="0"/>
    <x v="33"/>
    <x v="0"/>
    <x v="1"/>
    <n v="4"/>
    <n v="50"/>
    <n v="200"/>
    <n v="3"/>
  </r>
  <r>
    <n v="342"/>
    <n v="24"/>
    <n v="10"/>
    <n v="2023"/>
    <d v="2023-10-24T00:00:00"/>
    <s v="CUST342"/>
    <x v="1"/>
    <x v="22"/>
    <x v="0"/>
    <x v="1"/>
    <n v="4"/>
    <n v="500"/>
    <n v="2000"/>
    <n v="30"/>
  </r>
  <r>
    <n v="343"/>
    <n v="1"/>
    <n v="11"/>
    <n v="2023"/>
    <d v="2023-11-01T00:00:00"/>
    <s v="CUST343"/>
    <x v="0"/>
    <x v="34"/>
    <x v="1"/>
    <x v="2"/>
    <n v="2"/>
    <n v="25"/>
    <n v="50"/>
    <n v="0.75"/>
  </r>
  <r>
    <n v="344"/>
    <n v="21"/>
    <n v="1"/>
    <n v="2023"/>
    <d v="2023-01-21T00:00:00"/>
    <s v="CUST344"/>
    <x v="1"/>
    <x v="13"/>
    <x v="0"/>
    <x v="0"/>
    <n v="1"/>
    <n v="30"/>
    <n v="30"/>
    <n v="0.44999999999999996"/>
  </r>
  <r>
    <n v="345"/>
    <n v="14"/>
    <n v="11"/>
    <n v="2023"/>
    <d v="2023-11-14T00:00:00"/>
    <s v="CUST345"/>
    <x v="0"/>
    <x v="17"/>
    <x v="2"/>
    <x v="2"/>
    <n v="1"/>
    <n v="30"/>
    <n v="30"/>
    <n v="0.44999999999999996"/>
  </r>
  <r>
    <n v="346"/>
    <n v="11"/>
    <n v="2"/>
    <n v="2023"/>
    <d v="2023-02-11T00:00:00"/>
    <s v="CUST346"/>
    <x v="0"/>
    <x v="42"/>
    <x v="2"/>
    <x v="1"/>
    <n v="2"/>
    <n v="500"/>
    <n v="1000"/>
    <n v="15"/>
  </r>
  <r>
    <n v="347"/>
    <n v="3"/>
    <n v="8"/>
    <n v="2023"/>
    <d v="2023-08-03T00:00:00"/>
    <s v="CUST347"/>
    <x v="0"/>
    <x v="13"/>
    <x v="0"/>
    <x v="2"/>
    <n v="1"/>
    <n v="25"/>
    <n v="25"/>
    <n v="0.375"/>
  </r>
  <r>
    <n v="348"/>
    <n v="3"/>
    <n v="12"/>
    <n v="2023"/>
    <d v="2023-12-03T00:00:00"/>
    <s v="CUST348"/>
    <x v="1"/>
    <x v="10"/>
    <x v="0"/>
    <x v="2"/>
    <n v="2"/>
    <n v="300"/>
    <n v="600"/>
    <n v="9"/>
  </r>
  <r>
    <n v="349"/>
    <n v="26"/>
    <n v="10"/>
    <n v="2023"/>
    <d v="2023-10-26T00:00:00"/>
    <s v="CUST349"/>
    <x v="1"/>
    <x v="35"/>
    <x v="2"/>
    <x v="0"/>
    <n v="1"/>
    <n v="50"/>
    <n v="50"/>
    <n v="0.75"/>
  </r>
  <r>
    <n v="350"/>
    <n v="17"/>
    <n v="10"/>
    <n v="2023"/>
    <d v="2023-10-17T00:00:00"/>
    <s v="CUST350"/>
    <x v="0"/>
    <x v="36"/>
    <x v="1"/>
    <x v="0"/>
    <n v="3"/>
    <n v="25"/>
    <n v="75"/>
    <n v="1.125"/>
  </r>
  <r>
    <n v="351"/>
    <n v="25"/>
    <n v="9"/>
    <n v="2023"/>
    <d v="2023-09-25T00:00:00"/>
    <s v="CUST351"/>
    <x v="1"/>
    <x v="37"/>
    <x v="2"/>
    <x v="1"/>
    <n v="3"/>
    <n v="30"/>
    <n v="90"/>
    <n v="1.3499999999999999"/>
  </r>
  <r>
    <n v="352"/>
    <n v="11"/>
    <n v="6"/>
    <n v="2023"/>
    <d v="2023-06-11T00:00:00"/>
    <s v="CUST352"/>
    <x v="0"/>
    <x v="35"/>
    <x v="2"/>
    <x v="2"/>
    <n v="2"/>
    <n v="500"/>
    <n v="1000"/>
    <n v="15"/>
  </r>
  <r>
    <n v="353"/>
    <n v="14"/>
    <n v="5"/>
    <n v="2023"/>
    <d v="2023-05-14T00:00:00"/>
    <s v="CUST353"/>
    <x v="0"/>
    <x v="33"/>
    <x v="0"/>
    <x v="2"/>
    <n v="1"/>
    <n v="500"/>
    <n v="500"/>
    <n v="7.5"/>
  </r>
  <r>
    <n v="354"/>
    <n v="15"/>
    <n v="4"/>
    <n v="2023"/>
    <d v="2023-04-15T00:00:00"/>
    <s v="CUST354"/>
    <x v="1"/>
    <x v="19"/>
    <x v="0"/>
    <x v="0"/>
    <n v="4"/>
    <n v="50"/>
    <n v="200"/>
    <n v="3"/>
  </r>
  <r>
    <n v="355"/>
    <n v="9"/>
    <n v="12"/>
    <n v="2023"/>
    <d v="2023-12-09T00:00:00"/>
    <s v="CUST355"/>
    <x v="1"/>
    <x v="28"/>
    <x v="2"/>
    <x v="2"/>
    <n v="1"/>
    <n v="500"/>
    <n v="500"/>
    <n v="7.5"/>
  </r>
  <r>
    <n v="356"/>
    <n v="10"/>
    <n v="6"/>
    <n v="2023"/>
    <d v="2023-06-10T00:00:00"/>
    <s v="CUST356"/>
    <x v="0"/>
    <x v="2"/>
    <x v="2"/>
    <x v="2"/>
    <n v="3"/>
    <n v="500"/>
    <n v="1500"/>
    <n v="22.5"/>
  </r>
  <r>
    <n v="357"/>
    <n v="3"/>
    <n v="5"/>
    <n v="2023"/>
    <d v="2023-05-03T00:00:00"/>
    <s v="CUST357"/>
    <x v="1"/>
    <x v="30"/>
    <x v="0"/>
    <x v="2"/>
    <n v="3"/>
    <n v="25"/>
    <n v="75"/>
    <n v="1.125"/>
  </r>
  <r>
    <n v="358"/>
    <n v="16"/>
    <n v="5"/>
    <n v="2023"/>
    <d v="2023-05-16T00:00:00"/>
    <s v="CUST358"/>
    <x v="1"/>
    <x v="40"/>
    <x v="0"/>
    <x v="0"/>
    <n v="1"/>
    <n v="300"/>
    <n v="300"/>
    <n v="4.5"/>
  </r>
  <r>
    <n v="359"/>
    <n v="22"/>
    <n v="7"/>
    <n v="2023"/>
    <d v="2023-07-22T00:00:00"/>
    <s v="CUST359"/>
    <x v="0"/>
    <x v="2"/>
    <x v="2"/>
    <x v="1"/>
    <n v="1"/>
    <n v="50"/>
    <n v="50"/>
    <n v="0.75"/>
  </r>
  <r>
    <n v="360"/>
    <n v="9"/>
    <n v="3"/>
    <n v="2023"/>
    <d v="2023-03-09T00:00:00"/>
    <s v="CUST360"/>
    <x v="0"/>
    <x v="13"/>
    <x v="0"/>
    <x v="1"/>
    <n v="4"/>
    <n v="25"/>
    <n v="100"/>
    <n v="1.5"/>
  </r>
  <r>
    <n v="361"/>
    <n v="10"/>
    <n v="12"/>
    <n v="2023"/>
    <d v="2023-12-10T00:00:00"/>
    <s v="CUST361"/>
    <x v="1"/>
    <x v="0"/>
    <x v="0"/>
    <x v="2"/>
    <n v="4"/>
    <n v="300"/>
    <n v="1200"/>
    <n v="18"/>
  </r>
  <r>
    <n v="362"/>
    <n v="27"/>
    <n v="11"/>
    <n v="2023"/>
    <d v="2023-11-27T00:00:00"/>
    <s v="CUST362"/>
    <x v="0"/>
    <x v="2"/>
    <x v="2"/>
    <x v="1"/>
    <n v="1"/>
    <n v="25"/>
    <n v="25"/>
    <n v="0.375"/>
  </r>
  <r>
    <n v="363"/>
    <n v="3"/>
    <n v="6"/>
    <n v="2023"/>
    <d v="2023-06-03T00:00:00"/>
    <s v="CUST363"/>
    <x v="0"/>
    <x v="12"/>
    <x v="2"/>
    <x v="0"/>
    <n v="1"/>
    <n v="25"/>
    <n v="25"/>
    <n v="0.375"/>
  </r>
  <r>
    <n v="364"/>
    <n v="23"/>
    <n v="8"/>
    <n v="2023"/>
    <d v="2023-08-23T00:00:00"/>
    <s v="CUST364"/>
    <x v="1"/>
    <x v="14"/>
    <x v="1"/>
    <x v="0"/>
    <n v="1"/>
    <n v="500"/>
    <n v="500"/>
    <n v="7.5"/>
  </r>
  <r>
    <n v="365"/>
    <n v="11"/>
    <n v="6"/>
    <n v="2023"/>
    <d v="2023-06-11T00:00:00"/>
    <s v="CUST365"/>
    <x v="0"/>
    <x v="33"/>
    <x v="0"/>
    <x v="1"/>
    <n v="1"/>
    <n v="300"/>
    <n v="300"/>
    <n v="4.5"/>
  </r>
  <r>
    <n v="366"/>
    <n v="7"/>
    <n v="2"/>
    <n v="2023"/>
    <d v="2023-02-07T00:00:00"/>
    <s v="CUST366"/>
    <x v="0"/>
    <x v="35"/>
    <x v="2"/>
    <x v="1"/>
    <n v="2"/>
    <n v="50"/>
    <n v="100"/>
    <n v="1.5"/>
  </r>
  <r>
    <n v="367"/>
    <n v="5"/>
    <n v="1"/>
    <n v="2023"/>
    <d v="2023-01-05T00:00:00"/>
    <s v="CUST367"/>
    <x v="1"/>
    <x v="35"/>
    <x v="2"/>
    <x v="2"/>
    <n v="1"/>
    <n v="50"/>
    <n v="50"/>
    <n v="0.75"/>
  </r>
  <r>
    <n v="368"/>
    <n v="23"/>
    <n v="8"/>
    <n v="2023"/>
    <d v="2023-08-23T00:00:00"/>
    <s v="CUST368"/>
    <x v="1"/>
    <x v="37"/>
    <x v="2"/>
    <x v="1"/>
    <n v="4"/>
    <n v="300"/>
    <n v="1200"/>
    <n v="18"/>
  </r>
  <r>
    <n v="369"/>
    <n v="15"/>
    <n v="11"/>
    <n v="2023"/>
    <d v="2023-11-15T00:00:00"/>
    <s v="CUST369"/>
    <x v="0"/>
    <x v="9"/>
    <x v="1"/>
    <x v="2"/>
    <n v="3"/>
    <n v="500"/>
    <n v="1500"/>
    <n v="22.5"/>
  </r>
  <r>
    <n v="370"/>
    <n v="16"/>
    <n v="10"/>
    <n v="2023"/>
    <d v="2023-10-16T00:00:00"/>
    <s v="CUST370"/>
    <x v="0"/>
    <x v="9"/>
    <x v="1"/>
    <x v="2"/>
    <n v="2"/>
    <n v="30"/>
    <n v="60"/>
    <n v="0.89999999999999991"/>
  </r>
  <r>
    <n v="371"/>
    <n v="21"/>
    <n v="2"/>
    <n v="2023"/>
    <d v="2023-02-21T00:00:00"/>
    <s v="CUST371"/>
    <x v="1"/>
    <x v="29"/>
    <x v="1"/>
    <x v="0"/>
    <n v="1"/>
    <n v="25"/>
    <n v="25"/>
    <n v="0.375"/>
  </r>
  <r>
    <n v="372"/>
    <n v="7"/>
    <n v="2"/>
    <n v="2023"/>
    <d v="2023-02-07T00:00:00"/>
    <s v="CUST372"/>
    <x v="1"/>
    <x v="46"/>
    <x v="1"/>
    <x v="0"/>
    <n v="3"/>
    <n v="500"/>
    <n v="1500"/>
    <n v="22.5"/>
  </r>
  <r>
    <n v="373"/>
    <n v="3"/>
    <n v="10"/>
    <n v="2023"/>
    <d v="2023-10-03T00:00:00"/>
    <s v="CUST373"/>
    <x v="1"/>
    <x v="36"/>
    <x v="1"/>
    <x v="0"/>
    <n v="2"/>
    <n v="300"/>
    <n v="600"/>
    <n v="9"/>
  </r>
  <r>
    <n v="374"/>
    <n v="20"/>
    <n v="4"/>
    <n v="2023"/>
    <d v="2023-04-20T00:00:00"/>
    <s v="CUST374"/>
    <x v="1"/>
    <x v="42"/>
    <x v="2"/>
    <x v="0"/>
    <n v="3"/>
    <n v="25"/>
    <n v="75"/>
    <n v="1.125"/>
  </r>
  <r>
    <n v="375"/>
    <n v="17"/>
    <n v="9"/>
    <n v="2023"/>
    <d v="2023-09-17T00:00:00"/>
    <s v="CUST375"/>
    <x v="0"/>
    <x v="40"/>
    <x v="0"/>
    <x v="1"/>
    <n v="1"/>
    <n v="50"/>
    <n v="50"/>
    <n v="0.75"/>
  </r>
  <r>
    <n v="376"/>
    <n v="16"/>
    <n v="5"/>
    <n v="2023"/>
    <d v="2023-05-16T00:00:00"/>
    <s v="CUST376"/>
    <x v="1"/>
    <x v="12"/>
    <x v="2"/>
    <x v="0"/>
    <n v="1"/>
    <n v="30"/>
    <n v="30"/>
    <n v="0.44999999999999996"/>
  </r>
  <r>
    <n v="377"/>
    <n v="9"/>
    <n v="3"/>
    <n v="2023"/>
    <d v="2023-03-09T00:00:00"/>
    <s v="CUST377"/>
    <x v="1"/>
    <x v="6"/>
    <x v="0"/>
    <x v="1"/>
    <n v="4"/>
    <n v="50"/>
    <n v="200"/>
    <n v="3"/>
  </r>
  <r>
    <n v="378"/>
    <n v="28"/>
    <n v="6"/>
    <n v="2023"/>
    <d v="2023-06-28T00:00:00"/>
    <s v="CUST378"/>
    <x v="0"/>
    <x v="2"/>
    <x v="2"/>
    <x v="0"/>
    <n v="1"/>
    <n v="300"/>
    <n v="300"/>
    <n v="4.5"/>
  </r>
  <r>
    <n v="379"/>
    <n v="5"/>
    <n v="2"/>
    <n v="2023"/>
    <d v="2023-02-05T00:00:00"/>
    <s v="CUST379"/>
    <x v="1"/>
    <x v="16"/>
    <x v="0"/>
    <x v="1"/>
    <n v="1"/>
    <n v="25"/>
    <n v="25"/>
    <n v="0.375"/>
  </r>
  <r>
    <n v="380"/>
    <n v="6"/>
    <n v="5"/>
    <n v="2023"/>
    <d v="2023-05-06T00:00:00"/>
    <s v="CUST380"/>
    <x v="0"/>
    <x v="37"/>
    <x v="2"/>
    <x v="2"/>
    <n v="2"/>
    <n v="300"/>
    <n v="600"/>
    <n v="9"/>
  </r>
  <r>
    <n v="381"/>
    <n v="9"/>
    <n v="7"/>
    <n v="2023"/>
    <d v="2023-07-09T00:00:00"/>
    <s v="CUST381"/>
    <x v="1"/>
    <x v="24"/>
    <x v="0"/>
    <x v="1"/>
    <n v="4"/>
    <n v="25"/>
    <n v="100"/>
    <n v="1.5"/>
  </r>
  <r>
    <n v="382"/>
    <n v="26"/>
    <n v="5"/>
    <n v="2023"/>
    <d v="2023-05-26T00:00:00"/>
    <s v="CUST382"/>
    <x v="1"/>
    <x v="45"/>
    <x v="2"/>
    <x v="1"/>
    <n v="2"/>
    <n v="500"/>
    <n v="1000"/>
    <n v="15"/>
  </r>
  <r>
    <n v="383"/>
    <n v="22"/>
    <n v="3"/>
    <n v="2023"/>
    <d v="2023-03-22T00:00:00"/>
    <s v="CUST383"/>
    <x v="1"/>
    <x v="6"/>
    <x v="0"/>
    <x v="0"/>
    <n v="3"/>
    <n v="30"/>
    <n v="90"/>
    <n v="1.3499999999999999"/>
  </r>
  <r>
    <n v="384"/>
    <n v="13"/>
    <n v="8"/>
    <n v="2023"/>
    <d v="2023-08-13T00:00:00"/>
    <s v="CUST384"/>
    <x v="0"/>
    <x v="28"/>
    <x v="2"/>
    <x v="1"/>
    <n v="1"/>
    <n v="500"/>
    <n v="500"/>
    <n v="7.5"/>
  </r>
  <r>
    <n v="385"/>
    <n v="6"/>
    <n v="10"/>
    <n v="2023"/>
    <d v="2023-10-06T00:00:00"/>
    <s v="CUST385"/>
    <x v="0"/>
    <x v="2"/>
    <x v="2"/>
    <x v="2"/>
    <n v="3"/>
    <n v="500"/>
    <n v="1500"/>
    <n v="22.5"/>
  </r>
  <r>
    <n v="386"/>
    <n v="27"/>
    <n v="12"/>
    <n v="2023"/>
    <d v="2023-12-27T00:00:00"/>
    <s v="CUST386"/>
    <x v="1"/>
    <x v="31"/>
    <x v="2"/>
    <x v="2"/>
    <n v="2"/>
    <n v="300"/>
    <n v="600"/>
    <n v="9"/>
  </r>
  <r>
    <n v="387"/>
    <n v="4"/>
    <n v="6"/>
    <n v="2023"/>
    <d v="2023-06-04T00:00:00"/>
    <s v="CUST387"/>
    <x v="0"/>
    <x v="24"/>
    <x v="0"/>
    <x v="0"/>
    <n v="1"/>
    <n v="30"/>
    <n v="30"/>
    <n v="0.44999999999999996"/>
  </r>
  <r>
    <n v="388"/>
    <n v="10"/>
    <n v="11"/>
    <n v="2023"/>
    <d v="2023-11-10T00:00:00"/>
    <s v="CUST388"/>
    <x v="0"/>
    <x v="2"/>
    <x v="2"/>
    <x v="2"/>
    <n v="1"/>
    <n v="25"/>
    <n v="25"/>
    <n v="0.375"/>
  </r>
  <r>
    <n v="389"/>
    <n v="1"/>
    <n v="12"/>
    <n v="2023"/>
    <d v="2023-12-01T00:00:00"/>
    <s v="CUST389"/>
    <x v="0"/>
    <x v="34"/>
    <x v="1"/>
    <x v="1"/>
    <n v="2"/>
    <n v="25"/>
    <n v="50"/>
    <n v="0.75"/>
  </r>
  <r>
    <n v="390"/>
    <n v="28"/>
    <n v="9"/>
    <n v="2023"/>
    <d v="2023-09-28T00:00:00"/>
    <s v="CUST390"/>
    <x v="0"/>
    <x v="23"/>
    <x v="0"/>
    <x v="2"/>
    <n v="2"/>
    <n v="50"/>
    <n v="100"/>
    <n v="1.5"/>
  </r>
  <r>
    <n v="391"/>
    <n v="5"/>
    <n v="1"/>
    <n v="2023"/>
    <d v="2023-01-05T00:00:00"/>
    <s v="CUST391"/>
    <x v="0"/>
    <x v="14"/>
    <x v="1"/>
    <x v="0"/>
    <n v="2"/>
    <n v="25"/>
    <n v="50"/>
    <n v="0.75"/>
  </r>
  <r>
    <n v="392"/>
    <n v="8"/>
    <n v="12"/>
    <n v="2023"/>
    <d v="2023-12-08T00:00:00"/>
    <s v="CUST392"/>
    <x v="0"/>
    <x v="15"/>
    <x v="1"/>
    <x v="1"/>
    <n v="2"/>
    <n v="300"/>
    <n v="600"/>
    <n v="9"/>
  </r>
  <r>
    <n v="393"/>
    <n v="11"/>
    <n v="10"/>
    <n v="2023"/>
    <d v="2023-10-11T00:00:00"/>
    <s v="CUST393"/>
    <x v="1"/>
    <x v="11"/>
    <x v="1"/>
    <x v="0"/>
    <n v="2"/>
    <n v="500"/>
    <n v="1000"/>
    <n v="15"/>
  </r>
  <r>
    <n v="394"/>
    <n v="3"/>
    <n v="6"/>
    <n v="2023"/>
    <d v="2023-06-03T00:00:00"/>
    <s v="CUST394"/>
    <x v="1"/>
    <x v="15"/>
    <x v="1"/>
    <x v="1"/>
    <n v="1"/>
    <n v="500"/>
    <n v="500"/>
    <n v="7.5"/>
  </r>
  <r>
    <n v="395"/>
    <n v="6"/>
    <n v="12"/>
    <n v="2023"/>
    <d v="2023-12-06T00:00:00"/>
    <s v="CUST395"/>
    <x v="0"/>
    <x v="2"/>
    <x v="2"/>
    <x v="2"/>
    <n v="2"/>
    <n v="500"/>
    <n v="1000"/>
    <n v="15"/>
  </r>
  <r>
    <n v="396"/>
    <n v="23"/>
    <n v="2"/>
    <n v="2023"/>
    <d v="2023-02-23T00:00:00"/>
    <s v="CUST396"/>
    <x v="1"/>
    <x v="28"/>
    <x v="2"/>
    <x v="0"/>
    <n v="1"/>
    <n v="30"/>
    <n v="30"/>
    <n v="0.44999999999999996"/>
  </r>
  <r>
    <n v="397"/>
    <n v="10"/>
    <n v="3"/>
    <n v="2023"/>
    <d v="2023-03-10T00:00:00"/>
    <s v="CUST397"/>
    <x v="1"/>
    <x v="4"/>
    <x v="0"/>
    <x v="0"/>
    <n v="1"/>
    <n v="25"/>
    <n v="25"/>
    <n v="0.375"/>
  </r>
  <r>
    <n v="398"/>
    <n v="16"/>
    <n v="5"/>
    <n v="2023"/>
    <d v="2023-05-16T00:00:00"/>
    <s v="CUST398"/>
    <x v="1"/>
    <x v="27"/>
    <x v="0"/>
    <x v="1"/>
    <n v="2"/>
    <n v="300"/>
    <n v="600"/>
    <n v="9"/>
  </r>
  <r>
    <n v="399"/>
    <n v="1"/>
    <n v="3"/>
    <n v="2023"/>
    <d v="2023-03-01T00:00:00"/>
    <s v="CUST399"/>
    <x v="1"/>
    <x v="12"/>
    <x v="2"/>
    <x v="0"/>
    <n v="2"/>
    <n v="30"/>
    <n v="60"/>
    <n v="0.89999999999999991"/>
  </r>
  <r>
    <n v="400"/>
    <n v="24"/>
    <n v="2"/>
    <n v="2023"/>
    <d v="2023-02-24T00:00:00"/>
    <s v="CUST400"/>
    <x v="0"/>
    <x v="45"/>
    <x v="2"/>
    <x v="1"/>
    <n v="4"/>
    <n v="50"/>
    <n v="200"/>
    <n v="3"/>
  </r>
  <r>
    <n v="401"/>
    <n v="11"/>
    <n v="10"/>
    <n v="2023"/>
    <d v="2023-10-11T00:00:00"/>
    <s v="CUST401"/>
    <x v="1"/>
    <x v="17"/>
    <x v="2"/>
    <x v="1"/>
    <n v="1"/>
    <n v="300"/>
    <n v="300"/>
    <n v="4.5"/>
  </r>
  <r>
    <n v="402"/>
    <n v="21"/>
    <n v="3"/>
    <n v="2023"/>
    <d v="2023-03-21T00:00:00"/>
    <s v="CUST402"/>
    <x v="1"/>
    <x v="41"/>
    <x v="0"/>
    <x v="1"/>
    <n v="2"/>
    <n v="300"/>
    <n v="600"/>
    <n v="9"/>
  </r>
  <r>
    <n v="403"/>
    <n v="20"/>
    <n v="5"/>
    <n v="2023"/>
    <d v="2023-05-20T00:00:00"/>
    <s v="CUST403"/>
    <x v="0"/>
    <x v="40"/>
    <x v="0"/>
    <x v="1"/>
    <n v="2"/>
    <n v="300"/>
    <n v="600"/>
    <n v="9"/>
  </r>
  <r>
    <n v="404"/>
    <n v="25"/>
    <n v="5"/>
    <n v="2023"/>
    <d v="2023-05-25T00:00:00"/>
    <s v="CUST404"/>
    <x v="0"/>
    <x v="6"/>
    <x v="0"/>
    <x v="2"/>
    <n v="2"/>
    <n v="500"/>
    <n v="1000"/>
    <n v="15"/>
  </r>
  <r>
    <n v="405"/>
    <n v="6"/>
    <n v="11"/>
    <n v="2023"/>
    <d v="2023-11-06T00:00:00"/>
    <s v="CUST405"/>
    <x v="1"/>
    <x v="36"/>
    <x v="1"/>
    <x v="1"/>
    <n v="4"/>
    <n v="300"/>
    <n v="1200"/>
    <n v="18"/>
  </r>
  <r>
    <n v="406"/>
    <n v="18"/>
    <n v="4"/>
    <n v="2023"/>
    <d v="2023-04-18T00:00:00"/>
    <s v="CUST406"/>
    <x v="1"/>
    <x v="11"/>
    <x v="1"/>
    <x v="0"/>
    <n v="4"/>
    <n v="25"/>
    <n v="100"/>
    <n v="1.5"/>
  </r>
  <r>
    <n v="407"/>
    <n v="25"/>
    <n v="6"/>
    <n v="2023"/>
    <d v="2023-06-25T00:00:00"/>
    <s v="CUST407"/>
    <x v="1"/>
    <x v="6"/>
    <x v="0"/>
    <x v="2"/>
    <n v="3"/>
    <n v="300"/>
    <n v="900"/>
    <n v="13.5"/>
  </r>
  <r>
    <n v="408"/>
    <n v="15"/>
    <n v="4"/>
    <n v="2023"/>
    <d v="2023-04-15T00:00:00"/>
    <s v="CUST408"/>
    <x v="1"/>
    <x v="12"/>
    <x v="2"/>
    <x v="0"/>
    <n v="1"/>
    <n v="500"/>
    <n v="500"/>
    <n v="7.5"/>
  </r>
  <r>
    <n v="409"/>
    <n v="18"/>
    <n v="12"/>
    <n v="2023"/>
    <d v="2023-12-18T00:00:00"/>
    <s v="CUST409"/>
    <x v="1"/>
    <x v="34"/>
    <x v="1"/>
    <x v="2"/>
    <n v="3"/>
    <n v="300"/>
    <n v="900"/>
    <n v="13.5"/>
  </r>
  <r>
    <n v="410"/>
    <n v="21"/>
    <n v="11"/>
    <n v="2023"/>
    <d v="2023-11-21T00:00:00"/>
    <s v="CUST410"/>
    <x v="1"/>
    <x v="38"/>
    <x v="1"/>
    <x v="1"/>
    <n v="2"/>
    <n v="50"/>
    <n v="100"/>
    <n v="1.5"/>
  </r>
  <r>
    <n v="411"/>
    <n v="16"/>
    <n v="5"/>
    <n v="2023"/>
    <d v="2023-05-16T00:00:00"/>
    <s v="CUST411"/>
    <x v="0"/>
    <x v="17"/>
    <x v="2"/>
    <x v="2"/>
    <n v="4"/>
    <n v="50"/>
    <n v="200"/>
    <n v="3"/>
  </r>
  <r>
    <n v="412"/>
    <n v="16"/>
    <n v="9"/>
    <n v="2023"/>
    <d v="2023-09-16T00:00:00"/>
    <s v="CUST412"/>
    <x v="1"/>
    <x v="14"/>
    <x v="1"/>
    <x v="2"/>
    <n v="4"/>
    <n v="500"/>
    <n v="2000"/>
    <n v="30"/>
  </r>
  <r>
    <n v="413"/>
    <n v="8"/>
    <n v="9"/>
    <n v="2023"/>
    <d v="2023-09-08T00:00:00"/>
    <s v="CUST413"/>
    <x v="1"/>
    <x v="24"/>
    <x v="0"/>
    <x v="0"/>
    <n v="3"/>
    <n v="25"/>
    <n v="75"/>
    <n v="1.125"/>
  </r>
  <r>
    <n v="414"/>
    <n v="9"/>
    <n v="5"/>
    <n v="2023"/>
    <d v="2023-05-09T00:00:00"/>
    <s v="CUST414"/>
    <x v="0"/>
    <x v="27"/>
    <x v="0"/>
    <x v="0"/>
    <n v="4"/>
    <n v="25"/>
    <n v="100"/>
    <n v="1.5"/>
  </r>
  <r>
    <n v="415"/>
    <n v="27"/>
    <n v="1"/>
    <n v="2023"/>
    <d v="2023-01-27T00:00:00"/>
    <s v="CUST415"/>
    <x v="0"/>
    <x v="45"/>
    <x v="2"/>
    <x v="1"/>
    <n v="2"/>
    <n v="30"/>
    <n v="60"/>
    <n v="0.89999999999999991"/>
  </r>
  <r>
    <n v="416"/>
    <n v="17"/>
    <n v="2"/>
    <n v="2023"/>
    <d v="2023-02-17T00:00:00"/>
    <s v="CUST416"/>
    <x v="0"/>
    <x v="45"/>
    <x v="2"/>
    <x v="2"/>
    <n v="4"/>
    <n v="500"/>
    <n v="2000"/>
    <n v="30"/>
  </r>
  <r>
    <n v="417"/>
    <n v="21"/>
    <n v="11"/>
    <n v="2023"/>
    <d v="2023-11-21T00:00:00"/>
    <s v="CUST417"/>
    <x v="0"/>
    <x v="22"/>
    <x v="0"/>
    <x v="2"/>
    <n v="3"/>
    <n v="300"/>
    <n v="900"/>
    <n v="13.5"/>
  </r>
  <r>
    <n v="418"/>
    <n v="5"/>
    <n v="8"/>
    <n v="2023"/>
    <d v="2023-08-05T00:00:00"/>
    <s v="CUST418"/>
    <x v="1"/>
    <x v="43"/>
    <x v="2"/>
    <x v="2"/>
    <n v="2"/>
    <n v="500"/>
    <n v="1000"/>
    <n v="15"/>
  </r>
  <r>
    <n v="419"/>
    <n v="22"/>
    <n v="5"/>
    <n v="2023"/>
    <d v="2023-05-22T00:00:00"/>
    <s v="CUST419"/>
    <x v="1"/>
    <x v="24"/>
    <x v="0"/>
    <x v="1"/>
    <n v="3"/>
    <n v="30"/>
    <n v="90"/>
    <n v="1.3499999999999999"/>
  </r>
  <r>
    <n v="420"/>
    <n v="23"/>
    <n v="1"/>
    <n v="2023"/>
    <d v="2023-01-23T00:00:00"/>
    <s v="CUST420"/>
    <x v="1"/>
    <x v="11"/>
    <x v="1"/>
    <x v="1"/>
    <n v="4"/>
    <n v="500"/>
    <n v="2000"/>
    <n v="30"/>
  </r>
  <r>
    <n v="421"/>
    <n v="2"/>
    <n v="1"/>
    <n v="2023"/>
    <d v="2023-01-02T00:00:00"/>
    <s v="CUST421"/>
    <x v="1"/>
    <x v="3"/>
    <x v="0"/>
    <x v="1"/>
    <n v="3"/>
    <n v="500"/>
    <n v="1500"/>
    <n v="22.5"/>
  </r>
  <r>
    <n v="422"/>
    <n v="20"/>
    <n v="6"/>
    <n v="2023"/>
    <d v="2023-06-20T00:00:00"/>
    <s v="CUST422"/>
    <x v="1"/>
    <x v="20"/>
    <x v="1"/>
    <x v="1"/>
    <n v="3"/>
    <n v="30"/>
    <n v="90"/>
    <n v="1.3499999999999999"/>
  </r>
  <r>
    <n v="423"/>
    <n v="8"/>
    <n v="3"/>
    <n v="2023"/>
    <d v="2023-03-08T00:00:00"/>
    <s v="CUST423"/>
    <x v="1"/>
    <x v="15"/>
    <x v="1"/>
    <x v="1"/>
    <n v="1"/>
    <n v="25"/>
    <n v="25"/>
    <n v="0.375"/>
  </r>
  <r>
    <n v="424"/>
    <n v="23"/>
    <n v="11"/>
    <n v="2023"/>
    <d v="2023-11-23T00:00:00"/>
    <s v="CUST424"/>
    <x v="0"/>
    <x v="35"/>
    <x v="2"/>
    <x v="0"/>
    <n v="4"/>
    <n v="300"/>
    <n v="1200"/>
    <n v="18"/>
  </r>
  <r>
    <n v="425"/>
    <n v="15"/>
    <n v="5"/>
    <n v="2023"/>
    <d v="2023-05-15T00:00:00"/>
    <s v="CUST425"/>
    <x v="1"/>
    <x v="28"/>
    <x v="2"/>
    <x v="2"/>
    <n v="4"/>
    <n v="30"/>
    <n v="120"/>
    <n v="1.7999999999999998"/>
  </r>
  <r>
    <n v="426"/>
    <n v="24"/>
    <n v="3"/>
    <n v="2023"/>
    <d v="2023-03-24T00:00:00"/>
    <s v="CUST426"/>
    <x v="0"/>
    <x v="9"/>
    <x v="1"/>
    <x v="2"/>
    <n v="3"/>
    <n v="50"/>
    <n v="150"/>
    <n v="2.25"/>
  </r>
  <r>
    <n v="427"/>
    <n v="15"/>
    <n v="8"/>
    <n v="2023"/>
    <d v="2023-08-15T00:00:00"/>
    <s v="CUST427"/>
    <x v="0"/>
    <x v="36"/>
    <x v="1"/>
    <x v="2"/>
    <n v="1"/>
    <n v="25"/>
    <n v="25"/>
    <n v="0.375"/>
  </r>
  <r>
    <n v="428"/>
    <n v="10"/>
    <n v="10"/>
    <n v="2023"/>
    <d v="2023-10-10T00:00:00"/>
    <s v="CUST428"/>
    <x v="1"/>
    <x v="30"/>
    <x v="0"/>
    <x v="2"/>
    <n v="4"/>
    <n v="50"/>
    <n v="200"/>
    <n v="3"/>
  </r>
  <r>
    <n v="429"/>
    <n v="28"/>
    <n v="12"/>
    <n v="2023"/>
    <d v="2023-12-28T00:00:00"/>
    <s v="CUST429"/>
    <x v="0"/>
    <x v="12"/>
    <x v="2"/>
    <x v="2"/>
    <n v="2"/>
    <n v="25"/>
    <n v="50"/>
    <n v="0.75"/>
  </r>
  <r>
    <n v="430"/>
    <n v="7"/>
    <n v="8"/>
    <n v="2023"/>
    <d v="2023-08-07T00:00:00"/>
    <s v="CUST430"/>
    <x v="1"/>
    <x v="22"/>
    <x v="0"/>
    <x v="2"/>
    <n v="3"/>
    <n v="300"/>
    <n v="900"/>
    <n v="13.5"/>
  </r>
  <r>
    <n v="431"/>
    <n v="15"/>
    <n v="10"/>
    <n v="2023"/>
    <d v="2023-10-15T00:00:00"/>
    <s v="CUST431"/>
    <x v="0"/>
    <x v="7"/>
    <x v="2"/>
    <x v="2"/>
    <n v="4"/>
    <n v="300"/>
    <n v="1200"/>
    <n v="18"/>
  </r>
  <r>
    <n v="432"/>
    <n v="5"/>
    <n v="1"/>
    <n v="2023"/>
    <d v="2023-01-05T00:00:00"/>
    <s v="CUST432"/>
    <x v="1"/>
    <x v="43"/>
    <x v="2"/>
    <x v="2"/>
    <n v="2"/>
    <n v="500"/>
    <n v="1000"/>
    <n v="15"/>
  </r>
  <r>
    <n v="433"/>
    <n v="27"/>
    <n v="2"/>
    <n v="2023"/>
    <d v="2023-02-27T00:00:00"/>
    <s v="CUST433"/>
    <x v="0"/>
    <x v="38"/>
    <x v="1"/>
    <x v="0"/>
    <n v="4"/>
    <n v="50"/>
    <n v="200"/>
    <n v="3"/>
  </r>
  <r>
    <n v="434"/>
    <n v="8"/>
    <n v="2"/>
    <n v="2023"/>
    <d v="2023-02-08T00:00:00"/>
    <s v="CUST434"/>
    <x v="1"/>
    <x v="22"/>
    <x v="0"/>
    <x v="2"/>
    <n v="2"/>
    <n v="25"/>
    <n v="50"/>
    <n v="0.75"/>
  </r>
  <r>
    <n v="435"/>
    <n v="20"/>
    <n v="12"/>
    <n v="2023"/>
    <d v="2023-12-20T00:00:00"/>
    <s v="CUST435"/>
    <x v="1"/>
    <x v="4"/>
    <x v="0"/>
    <x v="0"/>
    <n v="3"/>
    <n v="300"/>
    <n v="900"/>
    <n v="13.5"/>
  </r>
  <r>
    <n v="436"/>
    <n v="18"/>
    <n v="3"/>
    <n v="2023"/>
    <d v="2023-03-18T00:00:00"/>
    <s v="CUST436"/>
    <x v="1"/>
    <x v="35"/>
    <x v="2"/>
    <x v="1"/>
    <n v="4"/>
    <n v="30"/>
    <n v="120"/>
    <n v="1.7999999999999998"/>
  </r>
  <r>
    <n v="437"/>
    <n v="7"/>
    <n v="10"/>
    <n v="2023"/>
    <d v="2023-10-07T00:00:00"/>
    <s v="CUST437"/>
    <x v="1"/>
    <x v="10"/>
    <x v="0"/>
    <x v="2"/>
    <n v="4"/>
    <n v="300"/>
    <n v="1200"/>
    <n v="18"/>
  </r>
  <r>
    <n v="438"/>
    <n v="19"/>
    <n v="1"/>
    <n v="2023"/>
    <d v="2023-01-19T00:00:00"/>
    <s v="CUST438"/>
    <x v="1"/>
    <x v="13"/>
    <x v="0"/>
    <x v="1"/>
    <n v="1"/>
    <n v="30"/>
    <n v="30"/>
    <n v="0.44999999999999996"/>
  </r>
  <r>
    <n v="439"/>
    <n v="9"/>
    <n v="7"/>
    <n v="2023"/>
    <d v="2023-07-09T00:00:00"/>
    <s v="CUST439"/>
    <x v="0"/>
    <x v="2"/>
    <x v="2"/>
    <x v="1"/>
    <n v="3"/>
    <n v="25"/>
    <n v="75"/>
    <n v="1.125"/>
  </r>
  <r>
    <n v="440"/>
    <n v="26"/>
    <n v="10"/>
    <n v="2023"/>
    <d v="2023-10-26T00:00:00"/>
    <s v="CUST440"/>
    <x v="0"/>
    <x v="12"/>
    <x v="2"/>
    <x v="1"/>
    <n v="2"/>
    <n v="300"/>
    <n v="600"/>
    <n v="9"/>
  </r>
  <r>
    <n v="441"/>
    <n v="10"/>
    <n v="10"/>
    <n v="2023"/>
    <d v="2023-10-10T00:00:00"/>
    <s v="CUST441"/>
    <x v="0"/>
    <x v="35"/>
    <x v="2"/>
    <x v="0"/>
    <n v="4"/>
    <n v="300"/>
    <n v="1200"/>
    <n v="18"/>
  </r>
  <r>
    <n v="442"/>
    <n v="17"/>
    <n v="3"/>
    <n v="2023"/>
    <d v="2023-03-17T00:00:00"/>
    <s v="CUST442"/>
    <x v="1"/>
    <x v="43"/>
    <x v="2"/>
    <x v="1"/>
    <n v="4"/>
    <n v="25"/>
    <n v="100"/>
    <n v="1.5"/>
  </r>
  <r>
    <n v="443"/>
    <n v="9"/>
    <n v="8"/>
    <n v="2023"/>
    <d v="2023-08-09T00:00:00"/>
    <s v="CUST443"/>
    <x v="0"/>
    <x v="38"/>
    <x v="1"/>
    <x v="1"/>
    <n v="2"/>
    <n v="300"/>
    <n v="600"/>
    <n v="9"/>
  </r>
  <r>
    <n v="444"/>
    <n v="7"/>
    <n v="3"/>
    <n v="2023"/>
    <d v="2023-03-07T00:00:00"/>
    <s v="CUST444"/>
    <x v="1"/>
    <x v="39"/>
    <x v="2"/>
    <x v="1"/>
    <n v="3"/>
    <n v="30"/>
    <n v="90"/>
    <n v="1.3499999999999999"/>
  </r>
  <r>
    <n v="445"/>
    <n v="22"/>
    <n v="1"/>
    <n v="2023"/>
    <d v="2023-01-22T00:00:00"/>
    <s v="CUST445"/>
    <x v="1"/>
    <x v="45"/>
    <x v="2"/>
    <x v="2"/>
    <n v="1"/>
    <n v="300"/>
    <n v="300"/>
    <n v="4.5"/>
  </r>
  <r>
    <n v="446"/>
    <n v="7"/>
    <n v="6"/>
    <n v="2023"/>
    <d v="2023-06-07T00:00:00"/>
    <s v="CUST446"/>
    <x v="0"/>
    <x v="34"/>
    <x v="1"/>
    <x v="2"/>
    <n v="1"/>
    <n v="50"/>
    <n v="50"/>
    <n v="0.75"/>
  </r>
  <r>
    <n v="447"/>
    <n v="6"/>
    <n v="7"/>
    <n v="2023"/>
    <d v="2023-07-06T00:00:00"/>
    <s v="CUST447"/>
    <x v="0"/>
    <x v="11"/>
    <x v="1"/>
    <x v="0"/>
    <n v="4"/>
    <n v="500"/>
    <n v="2000"/>
    <n v="30"/>
  </r>
  <r>
    <n v="448"/>
    <n v="21"/>
    <n v="1"/>
    <n v="2023"/>
    <d v="2023-01-21T00:00:00"/>
    <s v="CUST448"/>
    <x v="1"/>
    <x v="31"/>
    <x v="2"/>
    <x v="0"/>
    <n v="2"/>
    <n v="30"/>
    <n v="60"/>
    <n v="0.89999999999999991"/>
  </r>
  <r>
    <n v="449"/>
    <n v="3"/>
    <n v="7"/>
    <n v="2023"/>
    <d v="2023-07-03T00:00:00"/>
    <s v="CUST449"/>
    <x v="0"/>
    <x v="36"/>
    <x v="1"/>
    <x v="2"/>
    <n v="4"/>
    <n v="50"/>
    <n v="200"/>
    <n v="3"/>
  </r>
  <r>
    <n v="450"/>
    <n v="18"/>
    <n v="4"/>
    <n v="2023"/>
    <d v="2023-04-18T00:00:00"/>
    <s v="CUST450"/>
    <x v="1"/>
    <x v="42"/>
    <x v="2"/>
    <x v="0"/>
    <n v="2"/>
    <n v="25"/>
    <n v="50"/>
    <n v="0.75"/>
  </r>
  <r>
    <n v="451"/>
    <n v="16"/>
    <n v="12"/>
    <n v="2023"/>
    <d v="2023-12-16T00:00:00"/>
    <s v="CUST451"/>
    <x v="1"/>
    <x v="5"/>
    <x v="0"/>
    <x v="2"/>
    <n v="1"/>
    <n v="30"/>
    <n v="30"/>
    <n v="0.44999999999999996"/>
  </r>
  <r>
    <n v="452"/>
    <n v="8"/>
    <n v="5"/>
    <n v="2023"/>
    <d v="2023-05-08T00:00:00"/>
    <s v="CUST452"/>
    <x v="1"/>
    <x v="27"/>
    <x v="0"/>
    <x v="1"/>
    <n v="3"/>
    <n v="500"/>
    <n v="1500"/>
    <n v="22.5"/>
  </r>
  <r>
    <n v="453"/>
    <n v="8"/>
    <n v="12"/>
    <n v="2023"/>
    <d v="2023-12-08T00:00:00"/>
    <s v="CUST453"/>
    <x v="1"/>
    <x v="1"/>
    <x v="1"/>
    <x v="1"/>
    <n v="2"/>
    <n v="500"/>
    <n v="1000"/>
    <n v="15"/>
  </r>
  <r>
    <n v="454"/>
    <n v="22"/>
    <n v="2"/>
    <n v="2023"/>
    <d v="2023-02-22T00:00:00"/>
    <s v="CUST454"/>
    <x v="1"/>
    <x v="6"/>
    <x v="0"/>
    <x v="0"/>
    <n v="1"/>
    <n v="25"/>
    <n v="25"/>
    <n v="0.375"/>
  </r>
  <r>
    <n v="455"/>
    <n v="1"/>
    <n v="7"/>
    <n v="2023"/>
    <d v="2023-07-01T00:00:00"/>
    <s v="CUST455"/>
    <x v="0"/>
    <x v="33"/>
    <x v="0"/>
    <x v="2"/>
    <n v="4"/>
    <n v="25"/>
    <n v="100"/>
    <n v="1.5"/>
  </r>
  <r>
    <n v="456"/>
    <n v="14"/>
    <n v="10"/>
    <n v="2023"/>
    <d v="2023-10-14T00:00:00"/>
    <s v="CUST456"/>
    <x v="0"/>
    <x v="35"/>
    <x v="2"/>
    <x v="2"/>
    <n v="2"/>
    <n v="30"/>
    <n v="60"/>
    <n v="0.89999999999999991"/>
  </r>
  <r>
    <n v="457"/>
    <n v="28"/>
    <n v="7"/>
    <n v="2023"/>
    <d v="2023-07-28T00:00:00"/>
    <s v="CUST457"/>
    <x v="1"/>
    <x v="26"/>
    <x v="2"/>
    <x v="0"/>
    <n v="3"/>
    <n v="300"/>
    <n v="900"/>
    <n v="13.5"/>
  </r>
  <r>
    <n v="458"/>
    <n v="14"/>
    <n v="11"/>
    <n v="2023"/>
    <d v="2023-11-14T00:00:00"/>
    <s v="CUST458"/>
    <x v="1"/>
    <x v="23"/>
    <x v="0"/>
    <x v="2"/>
    <n v="4"/>
    <n v="25"/>
    <n v="100"/>
    <n v="1.5"/>
  </r>
  <r>
    <n v="459"/>
    <n v="21"/>
    <n v="3"/>
    <n v="2023"/>
    <d v="2023-03-21T00:00:00"/>
    <s v="CUST459"/>
    <x v="0"/>
    <x v="20"/>
    <x v="1"/>
    <x v="1"/>
    <n v="4"/>
    <n v="300"/>
    <n v="1200"/>
    <n v="18"/>
  </r>
  <r>
    <n v="460"/>
    <n v="2"/>
    <n v="5"/>
    <n v="2023"/>
    <d v="2023-05-02T00:00:00"/>
    <s v="CUST460"/>
    <x v="0"/>
    <x v="30"/>
    <x v="0"/>
    <x v="0"/>
    <n v="1"/>
    <n v="50"/>
    <n v="50"/>
    <n v="0.75"/>
  </r>
  <r>
    <n v="461"/>
    <n v="25"/>
    <n v="3"/>
    <n v="2023"/>
    <d v="2023-03-25T00:00:00"/>
    <s v="CUST461"/>
    <x v="1"/>
    <x v="18"/>
    <x v="1"/>
    <x v="0"/>
    <n v="2"/>
    <n v="500"/>
    <n v="1000"/>
    <n v="15"/>
  </r>
  <r>
    <n v="462"/>
    <n v="1"/>
    <n v="4"/>
    <n v="2023"/>
    <d v="2023-04-01T00:00:00"/>
    <s v="CUST462"/>
    <x v="0"/>
    <x v="7"/>
    <x v="2"/>
    <x v="2"/>
    <n v="4"/>
    <n v="300"/>
    <n v="1200"/>
    <n v="18"/>
  </r>
  <r>
    <n v="463"/>
    <n v="31"/>
    <n v="7"/>
    <n v="2023"/>
    <d v="2023-07-31T00:00:00"/>
    <s v="CUST463"/>
    <x v="1"/>
    <x v="31"/>
    <x v="2"/>
    <x v="0"/>
    <n v="3"/>
    <n v="500"/>
    <n v="1500"/>
    <n v="22.5"/>
  </r>
  <r>
    <n v="464"/>
    <n v="13"/>
    <n v="1"/>
    <n v="2023"/>
    <d v="2023-01-13T00:00:00"/>
    <s v="CUST464"/>
    <x v="0"/>
    <x v="21"/>
    <x v="0"/>
    <x v="2"/>
    <n v="2"/>
    <n v="300"/>
    <n v="600"/>
    <n v="9"/>
  </r>
  <r>
    <n v="465"/>
    <n v="2"/>
    <n v="4"/>
    <n v="2023"/>
    <d v="2023-04-02T00:00:00"/>
    <s v="CUST465"/>
    <x v="1"/>
    <x v="22"/>
    <x v="0"/>
    <x v="2"/>
    <n v="3"/>
    <n v="50"/>
    <n v="150"/>
    <n v="2.25"/>
  </r>
  <r>
    <n v="466"/>
    <n v="20"/>
    <n v="6"/>
    <n v="2023"/>
    <d v="2023-06-20T00:00:00"/>
    <s v="CUST466"/>
    <x v="0"/>
    <x v="7"/>
    <x v="2"/>
    <x v="2"/>
    <n v="4"/>
    <n v="25"/>
    <n v="100"/>
    <n v="1.5"/>
  </r>
  <r>
    <n v="467"/>
    <n v="30"/>
    <n v="7"/>
    <n v="2023"/>
    <d v="2023-07-30T00:00:00"/>
    <s v="CUST467"/>
    <x v="1"/>
    <x v="45"/>
    <x v="2"/>
    <x v="2"/>
    <n v="3"/>
    <n v="50"/>
    <n v="150"/>
    <n v="2.25"/>
  </r>
  <r>
    <n v="468"/>
    <n v="9"/>
    <n v="12"/>
    <n v="2023"/>
    <d v="2023-12-09T00:00:00"/>
    <s v="CUST468"/>
    <x v="0"/>
    <x v="30"/>
    <x v="0"/>
    <x v="2"/>
    <n v="1"/>
    <n v="25"/>
    <n v="25"/>
    <n v="0.375"/>
  </r>
  <r>
    <n v="469"/>
    <n v="8"/>
    <n v="5"/>
    <n v="2023"/>
    <d v="2023-05-08T00:00:00"/>
    <s v="CUST469"/>
    <x v="0"/>
    <x v="18"/>
    <x v="1"/>
    <x v="0"/>
    <n v="3"/>
    <n v="25"/>
    <n v="75"/>
    <n v="1.125"/>
  </r>
  <r>
    <n v="470"/>
    <n v="17"/>
    <n v="5"/>
    <n v="2023"/>
    <d v="2023-05-17T00:00:00"/>
    <s v="CUST470"/>
    <x v="1"/>
    <x v="35"/>
    <x v="2"/>
    <x v="1"/>
    <n v="2"/>
    <n v="500"/>
    <n v="1000"/>
    <n v="15"/>
  </r>
  <r>
    <n v="471"/>
    <n v="23"/>
    <n v="3"/>
    <n v="2023"/>
    <d v="2023-03-23T00:00:00"/>
    <s v="CUST471"/>
    <x v="0"/>
    <x v="40"/>
    <x v="0"/>
    <x v="1"/>
    <n v="3"/>
    <n v="50"/>
    <n v="150"/>
    <n v="2.25"/>
  </r>
  <r>
    <n v="472"/>
    <n v="26"/>
    <n v="12"/>
    <n v="2023"/>
    <d v="2023-12-26T00:00:00"/>
    <s v="CUST472"/>
    <x v="1"/>
    <x v="21"/>
    <x v="0"/>
    <x v="0"/>
    <n v="3"/>
    <n v="300"/>
    <n v="900"/>
    <n v="13.5"/>
  </r>
  <r>
    <n v="473"/>
    <n v="25"/>
    <n v="2"/>
    <n v="2023"/>
    <d v="2023-02-25T00:00:00"/>
    <s v="CUST473"/>
    <x v="0"/>
    <x v="12"/>
    <x v="2"/>
    <x v="0"/>
    <n v="1"/>
    <n v="50"/>
    <n v="50"/>
    <n v="0.75"/>
  </r>
  <r>
    <n v="474"/>
    <n v="15"/>
    <n v="7"/>
    <n v="2023"/>
    <d v="2023-07-15T00:00:00"/>
    <s v="CUST474"/>
    <x v="1"/>
    <x v="1"/>
    <x v="1"/>
    <x v="1"/>
    <n v="3"/>
    <n v="500"/>
    <n v="1500"/>
    <n v="22.5"/>
  </r>
  <r>
    <n v="475"/>
    <n v="20"/>
    <n v="1"/>
    <n v="2023"/>
    <d v="2023-01-20T00:00:00"/>
    <s v="CUST475"/>
    <x v="0"/>
    <x v="1"/>
    <x v="1"/>
    <x v="1"/>
    <n v="3"/>
    <n v="25"/>
    <n v="75"/>
    <n v="1.125"/>
  </r>
  <r>
    <n v="476"/>
    <n v="29"/>
    <n v="8"/>
    <n v="2023"/>
    <d v="2023-08-29T00:00:00"/>
    <s v="CUST476"/>
    <x v="1"/>
    <x v="15"/>
    <x v="1"/>
    <x v="1"/>
    <n v="4"/>
    <n v="500"/>
    <n v="2000"/>
    <n v="30"/>
  </r>
  <r>
    <n v="477"/>
    <n v="24"/>
    <n v="4"/>
    <n v="2023"/>
    <d v="2023-04-24T00:00:00"/>
    <s v="CUST477"/>
    <x v="0"/>
    <x v="22"/>
    <x v="0"/>
    <x v="1"/>
    <n v="4"/>
    <n v="30"/>
    <n v="120"/>
    <n v="1.7999999999999998"/>
  </r>
  <r>
    <n v="478"/>
    <n v="13"/>
    <n v="4"/>
    <n v="2023"/>
    <d v="2023-04-13T00:00:00"/>
    <s v="CUST478"/>
    <x v="1"/>
    <x v="26"/>
    <x v="2"/>
    <x v="1"/>
    <n v="2"/>
    <n v="30"/>
    <n v="60"/>
    <n v="0.89999999999999991"/>
  </r>
  <r>
    <n v="479"/>
    <n v="24"/>
    <n v="8"/>
    <n v="2023"/>
    <d v="2023-08-24T00:00:00"/>
    <s v="CUST479"/>
    <x v="0"/>
    <x v="8"/>
    <x v="2"/>
    <x v="2"/>
    <n v="4"/>
    <n v="300"/>
    <n v="1200"/>
    <n v="18"/>
  </r>
  <r>
    <n v="480"/>
    <n v="29"/>
    <n v="6"/>
    <n v="2023"/>
    <d v="2023-06-29T00:00:00"/>
    <s v="CUST480"/>
    <x v="1"/>
    <x v="13"/>
    <x v="0"/>
    <x v="0"/>
    <n v="4"/>
    <n v="500"/>
    <n v="2000"/>
    <n v="30"/>
  </r>
  <r>
    <n v="481"/>
    <n v="6"/>
    <n v="6"/>
    <n v="2023"/>
    <d v="2023-06-06T00:00:00"/>
    <s v="CUST481"/>
    <x v="1"/>
    <x v="22"/>
    <x v="0"/>
    <x v="2"/>
    <n v="4"/>
    <n v="300"/>
    <n v="1200"/>
    <n v="18"/>
  </r>
  <r>
    <n v="482"/>
    <n v="27"/>
    <n v="4"/>
    <n v="2023"/>
    <d v="2023-04-27T00:00:00"/>
    <s v="CUST482"/>
    <x v="1"/>
    <x v="20"/>
    <x v="1"/>
    <x v="1"/>
    <n v="4"/>
    <n v="300"/>
    <n v="1200"/>
    <n v="18"/>
  </r>
  <r>
    <n v="483"/>
    <n v="25"/>
    <n v="4"/>
    <n v="2023"/>
    <d v="2023-04-25T00:00:00"/>
    <s v="CUST483"/>
    <x v="0"/>
    <x v="28"/>
    <x v="2"/>
    <x v="1"/>
    <n v="1"/>
    <n v="30"/>
    <n v="30"/>
    <n v="0.44999999999999996"/>
  </r>
  <r>
    <n v="484"/>
    <n v="13"/>
    <n v="1"/>
    <n v="2023"/>
    <d v="2023-01-13T00:00:00"/>
    <s v="CUST484"/>
    <x v="1"/>
    <x v="14"/>
    <x v="1"/>
    <x v="1"/>
    <n v="4"/>
    <n v="300"/>
    <n v="1200"/>
    <n v="18"/>
  </r>
  <r>
    <n v="485"/>
    <n v="4"/>
    <n v="12"/>
    <n v="2023"/>
    <d v="2023-12-04T00:00:00"/>
    <s v="CUST485"/>
    <x v="0"/>
    <x v="46"/>
    <x v="1"/>
    <x v="2"/>
    <n v="1"/>
    <n v="30"/>
    <n v="30"/>
    <n v="0.44999999999999996"/>
  </r>
  <r>
    <n v="486"/>
    <n v="9"/>
    <n v="4"/>
    <n v="2023"/>
    <d v="2023-04-09T00:00:00"/>
    <s v="CUST486"/>
    <x v="1"/>
    <x v="10"/>
    <x v="0"/>
    <x v="2"/>
    <n v="1"/>
    <n v="25"/>
    <n v="25"/>
    <n v="0.375"/>
  </r>
  <r>
    <n v="487"/>
    <n v="24"/>
    <n v="7"/>
    <n v="2023"/>
    <d v="2023-07-24T00:00:00"/>
    <s v="CUST487"/>
    <x v="0"/>
    <x v="24"/>
    <x v="0"/>
    <x v="1"/>
    <n v="4"/>
    <n v="500"/>
    <n v="2000"/>
    <n v="30"/>
  </r>
  <r>
    <n v="488"/>
    <n v="18"/>
    <n v="6"/>
    <n v="2023"/>
    <d v="2023-06-18T00:00:00"/>
    <s v="CUST488"/>
    <x v="1"/>
    <x v="25"/>
    <x v="2"/>
    <x v="2"/>
    <n v="3"/>
    <n v="300"/>
    <n v="900"/>
    <n v="13.5"/>
  </r>
  <r>
    <n v="489"/>
    <n v="23"/>
    <n v="5"/>
    <n v="2023"/>
    <d v="2023-05-23T00:00:00"/>
    <s v="CUST489"/>
    <x v="0"/>
    <x v="24"/>
    <x v="0"/>
    <x v="2"/>
    <n v="1"/>
    <n v="30"/>
    <n v="30"/>
    <n v="0.44999999999999996"/>
  </r>
  <r>
    <n v="490"/>
    <n v="5"/>
    <n v="2"/>
    <n v="2023"/>
    <d v="2023-02-05T00:00:00"/>
    <s v="CUST490"/>
    <x v="0"/>
    <x v="0"/>
    <x v="0"/>
    <x v="1"/>
    <n v="3"/>
    <n v="50"/>
    <n v="150"/>
    <n v="2.25"/>
  </r>
  <r>
    <n v="491"/>
    <n v="23"/>
    <n v="5"/>
    <n v="2023"/>
    <d v="2023-05-23T00:00:00"/>
    <s v="CUST491"/>
    <x v="1"/>
    <x v="43"/>
    <x v="2"/>
    <x v="2"/>
    <n v="3"/>
    <n v="300"/>
    <n v="900"/>
    <n v="13.5"/>
  </r>
  <r>
    <n v="492"/>
    <n v="29"/>
    <n v="6"/>
    <n v="2023"/>
    <d v="2023-06-29T00:00:00"/>
    <s v="CUST492"/>
    <x v="0"/>
    <x v="39"/>
    <x v="2"/>
    <x v="0"/>
    <n v="4"/>
    <n v="25"/>
    <n v="100"/>
    <n v="1.5"/>
  </r>
  <r>
    <n v="493"/>
    <n v="25"/>
    <n v="11"/>
    <n v="2023"/>
    <d v="2023-11-25T00:00:00"/>
    <s v="CUST493"/>
    <x v="0"/>
    <x v="41"/>
    <x v="0"/>
    <x v="0"/>
    <n v="2"/>
    <n v="25"/>
    <n v="50"/>
    <n v="0.75"/>
  </r>
  <r>
    <n v="494"/>
    <n v="18"/>
    <n v="9"/>
    <n v="2023"/>
    <d v="2023-09-18T00:00:00"/>
    <s v="CUST494"/>
    <x v="1"/>
    <x v="13"/>
    <x v="0"/>
    <x v="0"/>
    <n v="4"/>
    <n v="50"/>
    <n v="200"/>
    <n v="3"/>
  </r>
  <r>
    <n v="495"/>
    <n v="24"/>
    <n v="7"/>
    <n v="2023"/>
    <d v="2023-07-24T00:00:00"/>
    <s v="CUST495"/>
    <x v="0"/>
    <x v="46"/>
    <x v="1"/>
    <x v="0"/>
    <n v="2"/>
    <n v="30"/>
    <n v="60"/>
    <n v="0.89999999999999991"/>
  </r>
  <r>
    <n v="496"/>
    <n v="14"/>
    <n v="12"/>
    <n v="2023"/>
    <d v="2023-12-14T00:00:00"/>
    <s v="CUST496"/>
    <x v="0"/>
    <x v="9"/>
    <x v="1"/>
    <x v="1"/>
    <n v="2"/>
    <n v="300"/>
    <n v="600"/>
    <n v="9"/>
  </r>
  <r>
    <n v="497"/>
    <n v="2"/>
    <n v="10"/>
    <n v="2023"/>
    <d v="2023-10-02T00:00:00"/>
    <s v="CUST497"/>
    <x v="0"/>
    <x v="41"/>
    <x v="0"/>
    <x v="1"/>
    <n v="4"/>
    <n v="30"/>
    <n v="120"/>
    <n v="1.7999999999999998"/>
  </r>
  <r>
    <n v="498"/>
    <n v="19"/>
    <n v="6"/>
    <n v="2023"/>
    <d v="2023-06-19T00:00:00"/>
    <s v="CUST498"/>
    <x v="1"/>
    <x v="2"/>
    <x v="2"/>
    <x v="1"/>
    <n v="4"/>
    <n v="25"/>
    <n v="100"/>
    <n v="1.5"/>
  </r>
  <r>
    <n v="499"/>
    <n v="15"/>
    <n v="1"/>
    <n v="2023"/>
    <d v="2023-01-15T00:00:00"/>
    <s v="CUST499"/>
    <x v="0"/>
    <x v="6"/>
    <x v="0"/>
    <x v="0"/>
    <n v="2"/>
    <n v="30"/>
    <n v="60"/>
    <n v="0.89999999999999991"/>
  </r>
  <r>
    <n v="500"/>
    <n v="1"/>
    <n v="3"/>
    <n v="2023"/>
    <d v="2023-03-01T00:00:00"/>
    <s v="CUST500"/>
    <x v="1"/>
    <x v="43"/>
    <x v="2"/>
    <x v="0"/>
    <n v="4"/>
    <n v="25"/>
    <n v="100"/>
    <n v="1.5"/>
  </r>
  <r>
    <n v="501"/>
    <n v="14"/>
    <n v="5"/>
    <n v="2023"/>
    <d v="2023-05-14T00:00:00"/>
    <s v="CUST501"/>
    <x v="0"/>
    <x v="23"/>
    <x v="0"/>
    <x v="2"/>
    <n v="2"/>
    <n v="30"/>
    <n v="60"/>
    <n v="0.89999999999999991"/>
  </r>
  <r>
    <n v="502"/>
    <n v="2"/>
    <n v="4"/>
    <n v="2023"/>
    <d v="2023-04-02T00:00:00"/>
    <s v="CUST502"/>
    <x v="0"/>
    <x v="22"/>
    <x v="0"/>
    <x v="2"/>
    <n v="3"/>
    <n v="50"/>
    <n v="150"/>
    <n v="2.25"/>
  </r>
  <r>
    <n v="503"/>
    <n v="25"/>
    <n v="10"/>
    <n v="2023"/>
    <d v="2023-10-25T00:00:00"/>
    <s v="CUST503"/>
    <x v="0"/>
    <x v="5"/>
    <x v="0"/>
    <x v="0"/>
    <n v="4"/>
    <n v="500"/>
    <n v="2000"/>
    <n v="30"/>
  </r>
  <r>
    <n v="504"/>
    <n v="16"/>
    <n v="5"/>
    <n v="2023"/>
    <d v="2023-05-16T00:00:00"/>
    <s v="CUST504"/>
    <x v="1"/>
    <x v="21"/>
    <x v="0"/>
    <x v="0"/>
    <n v="3"/>
    <n v="50"/>
    <n v="150"/>
    <n v="2.25"/>
  </r>
  <r>
    <n v="505"/>
    <n v="20"/>
    <n v="1"/>
    <n v="2023"/>
    <d v="2023-01-20T00:00:00"/>
    <s v="CUST505"/>
    <x v="0"/>
    <x v="46"/>
    <x v="1"/>
    <x v="0"/>
    <n v="1"/>
    <n v="50"/>
    <n v="50"/>
    <n v="0.75"/>
  </r>
  <r>
    <n v="506"/>
    <n v="25"/>
    <n v="2"/>
    <n v="2023"/>
    <d v="2023-02-25T00:00:00"/>
    <s v="CUST506"/>
    <x v="0"/>
    <x v="0"/>
    <x v="0"/>
    <x v="0"/>
    <n v="3"/>
    <n v="500"/>
    <n v="1500"/>
    <n v="22.5"/>
  </r>
  <r>
    <n v="507"/>
    <n v="2"/>
    <n v="11"/>
    <n v="2023"/>
    <d v="2023-11-02T00:00:00"/>
    <s v="CUST507"/>
    <x v="1"/>
    <x v="3"/>
    <x v="0"/>
    <x v="2"/>
    <n v="3"/>
    <n v="500"/>
    <n v="1500"/>
    <n v="22.5"/>
  </r>
  <r>
    <n v="508"/>
    <n v="11"/>
    <n v="8"/>
    <n v="2023"/>
    <d v="2023-08-11T00:00:00"/>
    <s v="CUST508"/>
    <x v="0"/>
    <x v="26"/>
    <x v="2"/>
    <x v="0"/>
    <n v="2"/>
    <n v="300"/>
    <n v="600"/>
    <n v="9"/>
  </r>
  <r>
    <n v="509"/>
    <n v="26"/>
    <n v="6"/>
    <n v="2023"/>
    <d v="2023-06-26T00:00:00"/>
    <s v="CUST509"/>
    <x v="1"/>
    <x v="3"/>
    <x v="0"/>
    <x v="2"/>
    <n v="3"/>
    <n v="300"/>
    <n v="900"/>
    <n v="13.5"/>
  </r>
  <r>
    <n v="510"/>
    <n v="10"/>
    <n v="6"/>
    <n v="2023"/>
    <d v="2023-06-10T00:00:00"/>
    <s v="CUST510"/>
    <x v="1"/>
    <x v="23"/>
    <x v="0"/>
    <x v="0"/>
    <n v="4"/>
    <n v="50"/>
    <n v="200"/>
    <n v="3"/>
  </r>
  <r>
    <n v="511"/>
    <n v="12"/>
    <n v="8"/>
    <n v="2023"/>
    <d v="2023-08-12T00:00:00"/>
    <s v="CUST511"/>
    <x v="0"/>
    <x v="5"/>
    <x v="0"/>
    <x v="0"/>
    <n v="2"/>
    <n v="50"/>
    <n v="100"/>
    <n v="1.5"/>
  </r>
  <r>
    <n v="512"/>
    <n v="7"/>
    <n v="11"/>
    <n v="2023"/>
    <d v="2023-11-07T00:00:00"/>
    <s v="CUST512"/>
    <x v="1"/>
    <x v="35"/>
    <x v="2"/>
    <x v="0"/>
    <n v="1"/>
    <n v="25"/>
    <n v="25"/>
    <n v="0.375"/>
  </r>
  <r>
    <n v="513"/>
    <n v="19"/>
    <n v="9"/>
    <n v="2023"/>
    <d v="2023-09-19T00:00:00"/>
    <s v="CUST513"/>
    <x v="0"/>
    <x v="46"/>
    <x v="1"/>
    <x v="2"/>
    <n v="4"/>
    <n v="25"/>
    <n v="100"/>
    <n v="1.5"/>
  </r>
  <r>
    <n v="514"/>
    <n v="1"/>
    <n v="3"/>
    <n v="2023"/>
    <d v="2023-03-01T00:00:00"/>
    <s v="CUST514"/>
    <x v="1"/>
    <x v="18"/>
    <x v="1"/>
    <x v="2"/>
    <n v="1"/>
    <n v="300"/>
    <n v="300"/>
    <n v="4.5"/>
  </r>
  <r>
    <n v="515"/>
    <n v="17"/>
    <n v="7"/>
    <n v="2023"/>
    <d v="2023-07-17T00:00:00"/>
    <s v="CUST515"/>
    <x v="1"/>
    <x v="19"/>
    <x v="0"/>
    <x v="1"/>
    <n v="3"/>
    <n v="300"/>
    <n v="900"/>
    <n v="13.5"/>
  </r>
  <r>
    <n v="516"/>
    <n v="23"/>
    <n v="10"/>
    <n v="2023"/>
    <d v="2023-10-23T00:00:00"/>
    <s v="CUST516"/>
    <x v="0"/>
    <x v="4"/>
    <x v="0"/>
    <x v="0"/>
    <n v="4"/>
    <n v="25"/>
    <n v="100"/>
    <n v="1.5"/>
  </r>
  <r>
    <n v="517"/>
    <n v="8"/>
    <n v="4"/>
    <n v="2023"/>
    <d v="2023-04-08T00:00:00"/>
    <s v="CUST517"/>
    <x v="1"/>
    <x v="16"/>
    <x v="0"/>
    <x v="1"/>
    <n v="4"/>
    <n v="25"/>
    <n v="100"/>
    <n v="1.5"/>
  </r>
  <r>
    <n v="518"/>
    <n v="11"/>
    <n v="5"/>
    <n v="2023"/>
    <d v="2023-05-11T00:00:00"/>
    <s v="CUST518"/>
    <x v="1"/>
    <x v="30"/>
    <x v="0"/>
    <x v="1"/>
    <n v="1"/>
    <n v="30"/>
    <n v="30"/>
    <n v="0.44999999999999996"/>
  </r>
  <r>
    <n v="519"/>
    <n v="23"/>
    <n v="1"/>
    <n v="2023"/>
    <d v="2023-01-23T00:00:00"/>
    <s v="CUST519"/>
    <x v="1"/>
    <x v="32"/>
    <x v="0"/>
    <x v="2"/>
    <n v="4"/>
    <n v="30"/>
    <n v="120"/>
    <n v="1.7999999999999998"/>
  </r>
  <r>
    <n v="520"/>
    <n v="29"/>
    <n v="12"/>
    <n v="2023"/>
    <d v="2023-12-29T00:00:00"/>
    <s v="CUST520"/>
    <x v="1"/>
    <x v="19"/>
    <x v="0"/>
    <x v="2"/>
    <n v="4"/>
    <n v="25"/>
    <n v="100"/>
    <n v="1.5"/>
  </r>
  <r>
    <n v="521"/>
    <n v="12"/>
    <n v="8"/>
    <n v="2023"/>
    <d v="2023-08-12T00:00:00"/>
    <s v="CUST521"/>
    <x v="1"/>
    <x v="16"/>
    <x v="0"/>
    <x v="1"/>
    <n v="4"/>
    <n v="30"/>
    <n v="120"/>
    <n v="1.7999999999999998"/>
  </r>
  <r>
    <n v="522"/>
    <n v="1"/>
    <n v="1"/>
    <n v="2023"/>
    <d v="2023-01-01T00:00:00"/>
    <s v="CUST522"/>
    <x v="0"/>
    <x v="6"/>
    <x v="0"/>
    <x v="0"/>
    <n v="3"/>
    <n v="500"/>
    <n v="1500"/>
    <n v="22.5"/>
  </r>
  <r>
    <n v="523"/>
    <n v="24"/>
    <n v="9"/>
    <n v="2023"/>
    <d v="2023-09-24T00:00:00"/>
    <s v="CUST523"/>
    <x v="1"/>
    <x v="17"/>
    <x v="2"/>
    <x v="2"/>
    <n v="1"/>
    <n v="300"/>
    <n v="300"/>
    <n v="4.5"/>
  </r>
  <r>
    <n v="524"/>
    <n v="3"/>
    <n v="10"/>
    <n v="2023"/>
    <d v="2023-10-03T00:00:00"/>
    <s v="CUST524"/>
    <x v="0"/>
    <x v="6"/>
    <x v="0"/>
    <x v="0"/>
    <n v="4"/>
    <n v="300"/>
    <n v="1200"/>
    <n v="18"/>
  </r>
  <r>
    <n v="525"/>
    <n v="18"/>
    <n v="12"/>
    <n v="2023"/>
    <d v="2023-12-18T00:00:00"/>
    <s v="CUST525"/>
    <x v="1"/>
    <x v="16"/>
    <x v="0"/>
    <x v="0"/>
    <n v="2"/>
    <n v="25"/>
    <n v="50"/>
    <n v="0.75"/>
  </r>
  <r>
    <n v="526"/>
    <n v="10"/>
    <n v="12"/>
    <n v="2023"/>
    <d v="2023-12-10T00:00:00"/>
    <s v="CUST526"/>
    <x v="0"/>
    <x v="44"/>
    <x v="0"/>
    <x v="1"/>
    <n v="2"/>
    <n v="50"/>
    <n v="100"/>
    <n v="1.5"/>
  </r>
  <r>
    <n v="527"/>
    <n v="11"/>
    <n v="4"/>
    <n v="2023"/>
    <d v="2023-04-11T00:00:00"/>
    <s v="CUST527"/>
    <x v="0"/>
    <x v="35"/>
    <x v="2"/>
    <x v="1"/>
    <n v="2"/>
    <n v="25"/>
    <n v="50"/>
    <n v="0.75"/>
  </r>
  <r>
    <n v="528"/>
    <n v="6"/>
    <n v="7"/>
    <n v="2023"/>
    <d v="2023-07-06T00:00:00"/>
    <s v="CUST528"/>
    <x v="1"/>
    <x v="32"/>
    <x v="0"/>
    <x v="1"/>
    <n v="2"/>
    <n v="30"/>
    <n v="60"/>
    <n v="0.89999999999999991"/>
  </r>
  <r>
    <n v="529"/>
    <n v="9"/>
    <n v="8"/>
    <n v="2023"/>
    <d v="2023-08-09T00:00:00"/>
    <s v="CUST529"/>
    <x v="1"/>
    <x v="10"/>
    <x v="0"/>
    <x v="1"/>
    <n v="3"/>
    <n v="50"/>
    <n v="150"/>
    <n v="2.25"/>
  </r>
  <r>
    <n v="530"/>
    <n v="5"/>
    <n v="2"/>
    <n v="2023"/>
    <d v="2023-02-05T00:00:00"/>
    <s v="CUST530"/>
    <x v="1"/>
    <x v="18"/>
    <x v="1"/>
    <x v="2"/>
    <n v="4"/>
    <n v="30"/>
    <n v="120"/>
    <n v="1.7999999999999998"/>
  </r>
  <r>
    <n v="531"/>
    <n v="7"/>
    <n v="12"/>
    <n v="2023"/>
    <d v="2023-12-07T00:00:00"/>
    <s v="CUST531"/>
    <x v="0"/>
    <x v="33"/>
    <x v="0"/>
    <x v="2"/>
    <n v="1"/>
    <n v="500"/>
    <n v="500"/>
    <n v="7.5"/>
  </r>
  <r>
    <n v="532"/>
    <n v="19"/>
    <n v="6"/>
    <n v="2023"/>
    <d v="2023-06-19T00:00:00"/>
    <s v="CUST532"/>
    <x v="1"/>
    <x v="12"/>
    <x v="2"/>
    <x v="1"/>
    <n v="4"/>
    <n v="30"/>
    <n v="120"/>
    <n v="1.7999999999999998"/>
  </r>
  <r>
    <n v="533"/>
    <n v="16"/>
    <n v="11"/>
    <n v="2023"/>
    <d v="2023-11-16T00:00:00"/>
    <s v="CUST533"/>
    <x v="0"/>
    <x v="14"/>
    <x v="1"/>
    <x v="2"/>
    <n v="3"/>
    <n v="500"/>
    <n v="1500"/>
    <n v="22.5"/>
  </r>
  <r>
    <n v="534"/>
    <n v="10"/>
    <n v="6"/>
    <n v="2023"/>
    <d v="2023-06-10T00:00:00"/>
    <s v="CUST534"/>
    <x v="0"/>
    <x v="5"/>
    <x v="0"/>
    <x v="1"/>
    <n v="2"/>
    <n v="500"/>
    <n v="1000"/>
    <n v="15"/>
  </r>
  <r>
    <n v="535"/>
    <n v="6"/>
    <n v="12"/>
    <n v="2023"/>
    <d v="2023-12-06T00:00:00"/>
    <s v="CUST535"/>
    <x v="0"/>
    <x v="16"/>
    <x v="0"/>
    <x v="0"/>
    <n v="3"/>
    <n v="30"/>
    <n v="90"/>
    <n v="1.3499999999999999"/>
  </r>
  <r>
    <n v="536"/>
    <n v="5"/>
    <n v="3"/>
    <n v="2023"/>
    <d v="2023-03-05T00:00:00"/>
    <s v="CUST536"/>
    <x v="1"/>
    <x v="28"/>
    <x v="2"/>
    <x v="0"/>
    <n v="4"/>
    <n v="30"/>
    <n v="120"/>
    <n v="1.7999999999999998"/>
  </r>
  <r>
    <n v="537"/>
    <n v="3"/>
    <n v="6"/>
    <n v="2023"/>
    <d v="2023-06-03T00:00:00"/>
    <s v="CUST537"/>
    <x v="1"/>
    <x v="34"/>
    <x v="1"/>
    <x v="0"/>
    <n v="1"/>
    <n v="500"/>
    <n v="500"/>
    <n v="7.5"/>
  </r>
  <r>
    <n v="538"/>
    <n v="17"/>
    <n v="9"/>
    <n v="2023"/>
    <d v="2023-09-17T00:00:00"/>
    <s v="CUST538"/>
    <x v="0"/>
    <x v="18"/>
    <x v="1"/>
    <x v="1"/>
    <n v="3"/>
    <n v="50"/>
    <n v="150"/>
    <n v="2.25"/>
  </r>
  <r>
    <n v="539"/>
    <n v="8"/>
    <n v="6"/>
    <n v="2023"/>
    <d v="2023-06-08T00:00:00"/>
    <s v="CUST539"/>
    <x v="0"/>
    <x v="36"/>
    <x v="1"/>
    <x v="0"/>
    <n v="1"/>
    <n v="500"/>
    <n v="500"/>
    <n v="7.5"/>
  </r>
  <r>
    <n v="540"/>
    <n v="8"/>
    <n v="12"/>
    <n v="2023"/>
    <d v="2023-12-08T00:00:00"/>
    <s v="CUST540"/>
    <x v="1"/>
    <x v="6"/>
    <x v="0"/>
    <x v="2"/>
    <n v="3"/>
    <n v="300"/>
    <n v="900"/>
    <n v="13.5"/>
  </r>
  <r>
    <n v="541"/>
    <n v="29"/>
    <n v="7"/>
    <n v="2023"/>
    <d v="2023-07-29T00:00:00"/>
    <s v="CUST541"/>
    <x v="0"/>
    <x v="37"/>
    <x v="2"/>
    <x v="0"/>
    <n v="1"/>
    <n v="500"/>
    <n v="500"/>
    <n v="7.5"/>
  </r>
  <r>
    <n v="542"/>
    <n v="17"/>
    <n v="6"/>
    <n v="2023"/>
    <d v="2023-06-17T00:00:00"/>
    <s v="CUST542"/>
    <x v="1"/>
    <x v="29"/>
    <x v="1"/>
    <x v="0"/>
    <n v="1"/>
    <n v="50"/>
    <n v="50"/>
    <n v="0.75"/>
  </r>
  <r>
    <n v="543"/>
    <n v="26"/>
    <n v="7"/>
    <n v="2023"/>
    <d v="2023-07-26T00:00:00"/>
    <s v="CUST543"/>
    <x v="0"/>
    <x v="19"/>
    <x v="0"/>
    <x v="0"/>
    <n v="2"/>
    <n v="300"/>
    <n v="600"/>
    <n v="9"/>
  </r>
  <r>
    <n v="544"/>
    <n v="23"/>
    <n v="12"/>
    <n v="2023"/>
    <d v="2023-12-23T00:00:00"/>
    <s v="CUST544"/>
    <x v="1"/>
    <x v="15"/>
    <x v="1"/>
    <x v="2"/>
    <n v="1"/>
    <n v="25"/>
    <n v="25"/>
    <n v="0.375"/>
  </r>
  <r>
    <n v="545"/>
    <n v="1"/>
    <n v="6"/>
    <n v="2023"/>
    <d v="2023-06-01T00:00:00"/>
    <s v="CUST545"/>
    <x v="0"/>
    <x v="15"/>
    <x v="1"/>
    <x v="1"/>
    <n v="2"/>
    <n v="25"/>
    <n v="50"/>
    <n v="0.75"/>
  </r>
  <r>
    <n v="546"/>
    <n v="11"/>
    <n v="10"/>
    <n v="2023"/>
    <d v="2023-10-11T00:00:00"/>
    <s v="CUST546"/>
    <x v="1"/>
    <x v="32"/>
    <x v="0"/>
    <x v="2"/>
    <n v="4"/>
    <n v="50"/>
    <n v="200"/>
    <n v="3"/>
  </r>
  <r>
    <n v="547"/>
    <n v="7"/>
    <n v="3"/>
    <n v="2023"/>
    <d v="2023-03-07T00:00:00"/>
    <s v="CUST547"/>
    <x v="0"/>
    <x v="7"/>
    <x v="2"/>
    <x v="1"/>
    <n v="4"/>
    <n v="500"/>
    <n v="2000"/>
    <n v="30"/>
  </r>
  <r>
    <n v="548"/>
    <n v="9"/>
    <n v="4"/>
    <n v="2023"/>
    <d v="2023-04-09T00:00:00"/>
    <s v="CUST548"/>
    <x v="1"/>
    <x v="25"/>
    <x v="2"/>
    <x v="1"/>
    <n v="2"/>
    <n v="30"/>
    <n v="60"/>
    <n v="0.89999999999999991"/>
  </r>
  <r>
    <n v="549"/>
    <n v="4"/>
    <n v="8"/>
    <n v="2023"/>
    <d v="2023-08-04T00:00:00"/>
    <s v="CUST549"/>
    <x v="1"/>
    <x v="2"/>
    <x v="2"/>
    <x v="0"/>
    <n v="2"/>
    <n v="50"/>
    <n v="100"/>
    <n v="1.5"/>
  </r>
  <r>
    <n v="550"/>
    <n v="7"/>
    <n v="12"/>
    <n v="2023"/>
    <d v="2023-12-07T00:00:00"/>
    <s v="CUST550"/>
    <x v="0"/>
    <x v="30"/>
    <x v="0"/>
    <x v="1"/>
    <n v="3"/>
    <n v="300"/>
    <n v="900"/>
    <n v="13.5"/>
  </r>
  <r>
    <n v="551"/>
    <n v="14"/>
    <n v="7"/>
    <n v="2023"/>
    <d v="2023-07-14T00:00:00"/>
    <s v="CUST551"/>
    <x v="0"/>
    <x v="5"/>
    <x v="0"/>
    <x v="2"/>
    <n v="3"/>
    <n v="300"/>
    <n v="900"/>
    <n v="13.5"/>
  </r>
  <r>
    <n v="552"/>
    <n v="13"/>
    <n v="12"/>
    <n v="2023"/>
    <d v="2023-12-13T00:00:00"/>
    <s v="CUST552"/>
    <x v="1"/>
    <x v="19"/>
    <x v="0"/>
    <x v="2"/>
    <n v="3"/>
    <n v="25"/>
    <n v="75"/>
    <n v="1.125"/>
  </r>
  <r>
    <n v="553"/>
    <n v="31"/>
    <n v="3"/>
    <n v="2023"/>
    <d v="2023-03-31T00:00:00"/>
    <s v="CUST553"/>
    <x v="0"/>
    <x v="46"/>
    <x v="1"/>
    <x v="1"/>
    <n v="4"/>
    <n v="300"/>
    <n v="1200"/>
    <n v="18"/>
  </r>
  <r>
    <n v="554"/>
    <n v="12"/>
    <n v="11"/>
    <n v="2023"/>
    <d v="2023-11-12T00:00:00"/>
    <s v="CUST554"/>
    <x v="1"/>
    <x v="6"/>
    <x v="0"/>
    <x v="0"/>
    <n v="3"/>
    <n v="50"/>
    <n v="150"/>
    <n v="2.25"/>
  </r>
  <r>
    <n v="555"/>
    <n v="19"/>
    <n v="10"/>
    <n v="2023"/>
    <d v="2023-10-19T00:00:00"/>
    <s v="CUST555"/>
    <x v="0"/>
    <x v="36"/>
    <x v="1"/>
    <x v="0"/>
    <n v="1"/>
    <n v="300"/>
    <n v="300"/>
    <n v="4.5"/>
  </r>
  <r>
    <n v="556"/>
    <n v="4"/>
    <n v="6"/>
    <n v="2023"/>
    <d v="2023-06-04T00:00:00"/>
    <s v="CUST556"/>
    <x v="1"/>
    <x v="18"/>
    <x v="1"/>
    <x v="2"/>
    <n v="1"/>
    <n v="50"/>
    <n v="50"/>
    <n v="0.75"/>
  </r>
  <r>
    <n v="557"/>
    <n v="27"/>
    <n v="7"/>
    <n v="2023"/>
    <d v="2023-07-27T00:00:00"/>
    <s v="CUST557"/>
    <x v="1"/>
    <x v="29"/>
    <x v="1"/>
    <x v="0"/>
    <n v="3"/>
    <n v="30"/>
    <n v="90"/>
    <n v="1.3499999999999999"/>
  </r>
  <r>
    <n v="558"/>
    <n v="8"/>
    <n v="10"/>
    <n v="2023"/>
    <d v="2023-10-08T00:00:00"/>
    <s v="CUST558"/>
    <x v="1"/>
    <x v="41"/>
    <x v="0"/>
    <x v="1"/>
    <n v="1"/>
    <n v="25"/>
    <n v="25"/>
    <n v="0.375"/>
  </r>
  <r>
    <n v="559"/>
    <n v="1"/>
    <n v="1"/>
    <n v="2023"/>
    <d v="2023-01-01T00:00:00"/>
    <s v="CUST559"/>
    <x v="1"/>
    <x v="30"/>
    <x v="0"/>
    <x v="1"/>
    <n v="4"/>
    <n v="300"/>
    <n v="1200"/>
    <n v="18"/>
  </r>
  <r>
    <n v="560"/>
    <n v="5"/>
    <n v="6"/>
    <n v="2023"/>
    <d v="2023-06-05T00:00:00"/>
    <s v="CUST560"/>
    <x v="1"/>
    <x v="36"/>
    <x v="1"/>
    <x v="2"/>
    <n v="1"/>
    <n v="50"/>
    <n v="50"/>
    <n v="0.75"/>
  </r>
  <r>
    <n v="561"/>
    <n v="27"/>
    <n v="5"/>
    <n v="2023"/>
    <d v="2023-05-27T00:00:00"/>
    <s v="CUST561"/>
    <x v="1"/>
    <x v="12"/>
    <x v="2"/>
    <x v="1"/>
    <n v="4"/>
    <n v="500"/>
    <n v="2000"/>
    <n v="30"/>
  </r>
  <r>
    <n v="562"/>
    <n v="18"/>
    <n v="4"/>
    <n v="2023"/>
    <d v="2023-04-18T00:00:00"/>
    <s v="CUST562"/>
    <x v="0"/>
    <x v="31"/>
    <x v="2"/>
    <x v="2"/>
    <n v="2"/>
    <n v="25"/>
    <n v="50"/>
    <n v="0.75"/>
  </r>
  <r>
    <n v="563"/>
    <n v="9"/>
    <n v="8"/>
    <n v="2023"/>
    <d v="2023-08-09T00:00:00"/>
    <s v="CUST563"/>
    <x v="0"/>
    <x v="29"/>
    <x v="1"/>
    <x v="1"/>
    <n v="2"/>
    <n v="30"/>
    <n v="60"/>
    <n v="0.89999999999999991"/>
  </r>
  <r>
    <n v="564"/>
    <n v="24"/>
    <n v="10"/>
    <n v="2023"/>
    <d v="2023-10-24T00:00:00"/>
    <s v="CUST564"/>
    <x v="0"/>
    <x v="2"/>
    <x v="2"/>
    <x v="2"/>
    <n v="2"/>
    <n v="50"/>
    <n v="100"/>
    <n v="1.5"/>
  </r>
  <r>
    <n v="565"/>
    <n v="7"/>
    <n v="11"/>
    <n v="2023"/>
    <d v="2023-11-07T00:00:00"/>
    <s v="CUST565"/>
    <x v="1"/>
    <x v="5"/>
    <x v="0"/>
    <x v="0"/>
    <n v="2"/>
    <n v="30"/>
    <n v="60"/>
    <n v="0.89999999999999991"/>
  </r>
  <r>
    <n v="566"/>
    <n v="2"/>
    <n v="12"/>
    <n v="2023"/>
    <d v="2023-12-02T00:00:00"/>
    <s v="CUST566"/>
    <x v="1"/>
    <x v="12"/>
    <x v="2"/>
    <x v="1"/>
    <n v="1"/>
    <n v="30"/>
    <n v="30"/>
    <n v="0.44999999999999996"/>
  </r>
  <r>
    <n v="567"/>
    <n v="14"/>
    <n v="6"/>
    <n v="2023"/>
    <d v="2023-06-14T00:00:00"/>
    <s v="CUST567"/>
    <x v="1"/>
    <x v="36"/>
    <x v="1"/>
    <x v="1"/>
    <n v="3"/>
    <n v="300"/>
    <n v="900"/>
    <n v="13.5"/>
  </r>
  <r>
    <n v="568"/>
    <n v="27"/>
    <n v="8"/>
    <n v="2023"/>
    <d v="2023-08-27T00:00:00"/>
    <s v="CUST568"/>
    <x v="1"/>
    <x v="25"/>
    <x v="2"/>
    <x v="2"/>
    <n v="1"/>
    <n v="300"/>
    <n v="300"/>
    <n v="4.5"/>
  </r>
  <r>
    <n v="569"/>
    <n v="15"/>
    <n v="8"/>
    <n v="2023"/>
    <d v="2023-08-15T00:00:00"/>
    <s v="CUST569"/>
    <x v="0"/>
    <x v="8"/>
    <x v="2"/>
    <x v="2"/>
    <n v="4"/>
    <n v="50"/>
    <n v="200"/>
    <n v="3"/>
  </r>
  <r>
    <n v="570"/>
    <n v="15"/>
    <n v="8"/>
    <n v="2023"/>
    <d v="2023-08-15T00:00:00"/>
    <s v="CUST570"/>
    <x v="0"/>
    <x v="19"/>
    <x v="0"/>
    <x v="1"/>
    <n v="1"/>
    <n v="500"/>
    <n v="500"/>
    <n v="7.5"/>
  </r>
  <r>
    <n v="571"/>
    <n v="12"/>
    <n v="12"/>
    <n v="2023"/>
    <d v="2023-12-12T00:00:00"/>
    <s v="CUST571"/>
    <x v="1"/>
    <x v="41"/>
    <x v="0"/>
    <x v="2"/>
    <n v="1"/>
    <n v="50"/>
    <n v="50"/>
    <n v="0.75"/>
  </r>
  <r>
    <n v="572"/>
    <n v="20"/>
    <n v="4"/>
    <n v="2023"/>
    <d v="2023-04-20T00:00:00"/>
    <s v="CUST572"/>
    <x v="0"/>
    <x v="33"/>
    <x v="0"/>
    <x v="1"/>
    <n v="4"/>
    <n v="500"/>
    <n v="2000"/>
    <n v="30"/>
  </r>
  <r>
    <n v="573"/>
    <n v="19"/>
    <n v="9"/>
    <n v="2023"/>
    <d v="2023-09-19T00:00:00"/>
    <s v="CUST573"/>
    <x v="0"/>
    <x v="19"/>
    <x v="0"/>
    <x v="0"/>
    <n v="2"/>
    <n v="30"/>
    <n v="60"/>
    <n v="0.89999999999999991"/>
  </r>
  <r>
    <n v="574"/>
    <n v="31"/>
    <n v="8"/>
    <n v="2023"/>
    <d v="2023-08-31T00:00:00"/>
    <s v="CUST574"/>
    <x v="1"/>
    <x v="7"/>
    <x v="2"/>
    <x v="2"/>
    <n v="2"/>
    <n v="25"/>
    <n v="50"/>
    <n v="0.75"/>
  </r>
  <r>
    <n v="575"/>
    <n v="28"/>
    <n v="3"/>
    <n v="2023"/>
    <d v="2023-03-28T00:00:00"/>
    <s v="CUST575"/>
    <x v="0"/>
    <x v="43"/>
    <x v="2"/>
    <x v="1"/>
    <n v="2"/>
    <n v="50"/>
    <n v="100"/>
    <n v="1.5"/>
  </r>
  <r>
    <n v="576"/>
    <n v="4"/>
    <n v="12"/>
    <n v="2023"/>
    <d v="2023-12-04T00:00:00"/>
    <s v="CUST576"/>
    <x v="1"/>
    <x v="44"/>
    <x v="0"/>
    <x v="0"/>
    <n v="3"/>
    <n v="50"/>
    <n v="150"/>
    <n v="2.25"/>
  </r>
  <r>
    <n v="577"/>
    <n v="13"/>
    <n v="2"/>
    <n v="2023"/>
    <d v="2023-02-13T00:00:00"/>
    <s v="CUST577"/>
    <x v="0"/>
    <x v="34"/>
    <x v="1"/>
    <x v="0"/>
    <n v="4"/>
    <n v="500"/>
    <n v="2000"/>
    <n v="30"/>
  </r>
  <r>
    <n v="578"/>
    <n v="26"/>
    <n v="5"/>
    <n v="2023"/>
    <d v="2023-05-26T00:00:00"/>
    <s v="CUST578"/>
    <x v="1"/>
    <x v="31"/>
    <x v="2"/>
    <x v="1"/>
    <n v="4"/>
    <n v="30"/>
    <n v="120"/>
    <n v="1.7999999999999998"/>
  </r>
  <r>
    <n v="579"/>
    <n v="21"/>
    <n v="9"/>
    <n v="2023"/>
    <d v="2023-09-21T00:00:00"/>
    <s v="CUST579"/>
    <x v="1"/>
    <x v="21"/>
    <x v="0"/>
    <x v="2"/>
    <n v="1"/>
    <n v="30"/>
    <n v="30"/>
    <n v="0.44999999999999996"/>
  </r>
  <r>
    <n v="580"/>
    <n v="6"/>
    <n v="12"/>
    <n v="2023"/>
    <d v="2023-12-06T00:00:00"/>
    <s v="CUST580"/>
    <x v="1"/>
    <x v="33"/>
    <x v="0"/>
    <x v="1"/>
    <n v="3"/>
    <n v="500"/>
    <n v="1500"/>
    <n v="22.5"/>
  </r>
  <r>
    <n v="581"/>
    <n v="21"/>
    <n v="11"/>
    <n v="2023"/>
    <d v="2023-11-21T00:00:00"/>
    <s v="CUST581"/>
    <x v="1"/>
    <x v="27"/>
    <x v="0"/>
    <x v="0"/>
    <n v="2"/>
    <n v="30"/>
    <n v="60"/>
    <n v="0.89999999999999991"/>
  </r>
  <r>
    <n v="582"/>
    <n v="14"/>
    <n v="11"/>
    <n v="2023"/>
    <d v="2023-11-14T00:00:00"/>
    <s v="CUST582"/>
    <x v="0"/>
    <x v="10"/>
    <x v="0"/>
    <x v="1"/>
    <n v="3"/>
    <n v="300"/>
    <n v="900"/>
    <n v="13.5"/>
  </r>
  <r>
    <n v="583"/>
    <n v="21"/>
    <n v="6"/>
    <n v="2023"/>
    <d v="2023-06-21T00:00:00"/>
    <s v="CUST583"/>
    <x v="1"/>
    <x v="46"/>
    <x v="1"/>
    <x v="2"/>
    <n v="4"/>
    <n v="25"/>
    <n v="100"/>
    <n v="1.5"/>
  </r>
  <r>
    <n v="584"/>
    <n v="17"/>
    <n v="2"/>
    <n v="2023"/>
    <d v="2023-02-17T00:00:00"/>
    <s v="CUST584"/>
    <x v="1"/>
    <x v="15"/>
    <x v="1"/>
    <x v="0"/>
    <n v="4"/>
    <n v="50"/>
    <n v="200"/>
    <n v="3"/>
  </r>
  <r>
    <n v="585"/>
    <n v="1"/>
    <n v="5"/>
    <n v="2023"/>
    <d v="2023-05-01T00:00:00"/>
    <s v="CUST585"/>
    <x v="1"/>
    <x v="46"/>
    <x v="1"/>
    <x v="1"/>
    <n v="1"/>
    <n v="25"/>
    <n v="25"/>
    <n v="0.375"/>
  </r>
  <r>
    <n v="586"/>
    <n v="11"/>
    <n v="12"/>
    <n v="2023"/>
    <d v="2023-12-11T00:00:00"/>
    <s v="CUST586"/>
    <x v="0"/>
    <x v="2"/>
    <x v="2"/>
    <x v="2"/>
    <n v="1"/>
    <n v="50"/>
    <n v="50"/>
    <n v="0.75"/>
  </r>
  <r>
    <n v="587"/>
    <n v="8"/>
    <n v="6"/>
    <n v="2023"/>
    <d v="2023-06-08T00:00:00"/>
    <s v="CUST587"/>
    <x v="1"/>
    <x v="30"/>
    <x v="0"/>
    <x v="0"/>
    <n v="4"/>
    <n v="300"/>
    <n v="1200"/>
    <n v="18"/>
  </r>
  <r>
    <n v="588"/>
    <n v="26"/>
    <n v="4"/>
    <n v="2023"/>
    <d v="2023-04-26T00:00:00"/>
    <s v="CUST588"/>
    <x v="0"/>
    <x v="21"/>
    <x v="0"/>
    <x v="2"/>
    <n v="2"/>
    <n v="30"/>
    <n v="60"/>
    <n v="0.89999999999999991"/>
  </r>
  <r>
    <n v="589"/>
    <n v="12"/>
    <n v="4"/>
    <n v="2023"/>
    <d v="2023-04-12T00:00:00"/>
    <s v="CUST589"/>
    <x v="1"/>
    <x v="32"/>
    <x v="0"/>
    <x v="0"/>
    <n v="2"/>
    <n v="500"/>
    <n v="1000"/>
    <n v="15"/>
  </r>
  <r>
    <n v="590"/>
    <n v="17"/>
    <n v="3"/>
    <n v="2023"/>
    <d v="2023-03-17T00:00:00"/>
    <s v="CUST590"/>
    <x v="0"/>
    <x v="32"/>
    <x v="0"/>
    <x v="1"/>
    <n v="3"/>
    <n v="300"/>
    <n v="900"/>
    <n v="13.5"/>
  </r>
  <r>
    <n v="591"/>
    <n v="13"/>
    <n v="1"/>
    <n v="2023"/>
    <d v="2023-01-13T00:00:00"/>
    <s v="CUST591"/>
    <x v="0"/>
    <x v="45"/>
    <x v="2"/>
    <x v="2"/>
    <n v="4"/>
    <n v="25"/>
    <n v="100"/>
    <n v="1.5"/>
  </r>
  <r>
    <n v="592"/>
    <n v="24"/>
    <n v="1"/>
    <n v="2023"/>
    <d v="2023-01-24T00:00:00"/>
    <s v="CUST592"/>
    <x v="1"/>
    <x v="6"/>
    <x v="0"/>
    <x v="0"/>
    <n v="4"/>
    <n v="500"/>
    <n v="2000"/>
    <n v="30"/>
  </r>
  <r>
    <n v="593"/>
    <n v="6"/>
    <n v="5"/>
    <n v="2023"/>
    <d v="2023-05-06T00:00:00"/>
    <s v="CUST593"/>
    <x v="0"/>
    <x v="10"/>
    <x v="0"/>
    <x v="2"/>
    <n v="2"/>
    <n v="30"/>
    <n v="60"/>
    <n v="0.89999999999999991"/>
  </r>
  <r>
    <n v="594"/>
    <n v="1"/>
    <n v="9"/>
    <n v="2023"/>
    <d v="2023-09-01T00:00:00"/>
    <s v="CUST594"/>
    <x v="1"/>
    <x v="14"/>
    <x v="1"/>
    <x v="2"/>
    <n v="2"/>
    <n v="300"/>
    <n v="600"/>
    <n v="9"/>
  </r>
  <r>
    <n v="595"/>
    <n v="9"/>
    <n v="11"/>
    <n v="2023"/>
    <d v="2023-11-09T00:00:00"/>
    <s v="CUST595"/>
    <x v="1"/>
    <x v="18"/>
    <x v="1"/>
    <x v="1"/>
    <n v="4"/>
    <n v="500"/>
    <n v="2000"/>
    <n v="30"/>
  </r>
  <r>
    <n v="596"/>
    <n v="7"/>
    <n v="2"/>
    <n v="2023"/>
    <d v="2023-02-07T00:00:00"/>
    <s v="CUST596"/>
    <x v="1"/>
    <x v="12"/>
    <x v="2"/>
    <x v="2"/>
    <n v="1"/>
    <n v="300"/>
    <n v="300"/>
    <n v="4.5"/>
  </r>
  <r>
    <n v="597"/>
    <n v="22"/>
    <n v="8"/>
    <n v="2023"/>
    <d v="2023-08-22T00:00:00"/>
    <s v="CUST597"/>
    <x v="0"/>
    <x v="11"/>
    <x v="1"/>
    <x v="0"/>
    <n v="4"/>
    <n v="300"/>
    <n v="1200"/>
    <n v="18"/>
  </r>
  <r>
    <n v="598"/>
    <n v="1"/>
    <n v="8"/>
    <n v="2023"/>
    <d v="2023-08-01T00:00:00"/>
    <s v="CUST598"/>
    <x v="0"/>
    <x v="3"/>
    <x v="0"/>
    <x v="0"/>
    <n v="4"/>
    <n v="30"/>
    <n v="120"/>
    <n v="1.7999999999999998"/>
  </r>
  <r>
    <n v="599"/>
    <n v="19"/>
    <n v="11"/>
    <n v="2023"/>
    <d v="2023-11-19T00:00:00"/>
    <s v="CUST599"/>
    <x v="1"/>
    <x v="20"/>
    <x v="1"/>
    <x v="0"/>
    <n v="2"/>
    <n v="50"/>
    <n v="100"/>
    <n v="1.5"/>
  </r>
  <r>
    <n v="600"/>
    <n v="22"/>
    <n v="10"/>
    <n v="2023"/>
    <d v="2023-10-22T00:00:00"/>
    <s v="CUST600"/>
    <x v="1"/>
    <x v="42"/>
    <x v="2"/>
    <x v="0"/>
    <n v="2"/>
    <n v="500"/>
    <n v="1000"/>
    <n v="15"/>
  </r>
  <r>
    <n v="601"/>
    <n v="10"/>
    <n v="4"/>
    <n v="2023"/>
    <d v="2023-04-10T00:00:00"/>
    <s v="CUST601"/>
    <x v="0"/>
    <x v="14"/>
    <x v="1"/>
    <x v="1"/>
    <n v="1"/>
    <n v="30"/>
    <n v="30"/>
    <n v="0.44999999999999996"/>
  </r>
  <r>
    <n v="602"/>
    <n v="23"/>
    <n v="12"/>
    <n v="2023"/>
    <d v="2023-12-23T00:00:00"/>
    <s v="CUST602"/>
    <x v="1"/>
    <x v="29"/>
    <x v="1"/>
    <x v="2"/>
    <n v="1"/>
    <n v="300"/>
    <n v="300"/>
    <n v="4.5"/>
  </r>
  <r>
    <n v="603"/>
    <n v="16"/>
    <n v="7"/>
    <n v="2023"/>
    <d v="2023-07-16T00:00:00"/>
    <s v="CUST603"/>
    <x v="1"/>
    <x v="30"/>
    <x v="0"/>
    <x v="1"/>
    <n v="3"/>
    <n v="30"/>
    <n v="90"/>
    <n v="1.3499999999999999"/>
  </r>
  <r>
    <n v="604"/>
    <n v="11"/>
    <n v="9"/>
    <n v="2023"/>
    <d v="2023-09-11T00:00:00"/>
    <s v="CUST604"/>
    <x v="1"/>
    <x v="38"/>
    <x v="1"/>
    <x v="2"/>
    <n v="4"/>
    <n v="50"/>
    <n v="200"/>
    <n v="3"/>
  </r>
  <r>
    <n v="605"/>
    <n v="24"/>
    <n v="7"/>
    <n v="2023"/>
    <d v="2023-07-24T00:00:00"/>
    <s v="CUST605"/>
    <x v="0"/>
    <x v="3"/>
    <x v="0"/>
    <x v="2"/>
    <n v="2"/>
    <n v="500"/>
    <n v="1000"/>
    <n v="15"/>
  </r>
  <r>
    <n v="606"/>
    <n v="5"/>
    <n v="5"/>
    <n v="2023"/>
    <d v="2023-05-05T00:00:00"/>
    <s v="CUST606"/>
    <x v="0"/>
    <x v="11"/>
    <x v="1"/>
    <x v="2"/>
    <n v="1"/>
    <n v="50"/>
    <n v="50"/>
    <n v="0.75"/>
  </r>
  <r>
    <n v="607"/>
    <n v="17"/>
    <n v="3"/>
    <n v="2023"/>
    <d v="2023-03-17T00:00:00"/>
    <s v="CUST607"/>
    <x v="0"/>
    <x v="31"/>
    <x v="2"/>
    <x v="1"/>
    <n v="3"/>
    <n v="25"/>
    <n v="75"/>
    <n v="1.125"/>
  </r>
  <r>
    <n v="608"/>
    <n v="2"/>
    <n v="12"/>
    <n v="2023"/>
    <d v="2023-12-02T00:00:00"/>
    <s v="CUST608"/>
    <x v="1"/>
    <x v="28"/>
    <x v="2"/>
    <x v="2"/>
    <n v="3"/>
    <n v="500"/>
    <n v="1500"/>
    <n v="22.5"/>
  </r>
  <r>
    <n v="609"/>
    <n v="19"/>
    <n v="12"/>
    <n v="2023"/>
    <d v="2023-12-19T00:00:00"/>
    <s v="CUST609"/>
    <x v="1"/>
    <x v="16"/>
    <x v="0"/>
    <x v="1"/>
    <n v="2"/>
    <n v="50"/>
    <n v="100"/>
    <n v="1.5"/>
  </r>
  <r>
    <n v="610"/>
    <n v="3"/>
    <n v="1"/>
    <n v="2023"/>
    <d v="2023-01-03T00:00:00"/>
    <s v="CUST610"/>
    <x v="1"/>
    <x v="1"/>
    <x v="1"/>
    <x v="0"/>
    <n v="2"/>
    <n v="300"/>
    <n v="600"/>
    <n v="9"/>
  </r>
  <r>
    <n v="611"/>
    <n v="24"/>
    <n v="2"/>
    <n v="2023"/>
    <d v="2023-02-24T00:00:00"/>
    <s v="CUST611"/>
    <x v="0"/>
    <x v="25"/>
    <x v="2"/>
    <x v="0"/>
    <n v="3"/>
    <n v="500"/>
    <n v="1500"/>
    <n v="22.5"/>
  </r>
  <r>
    <n v="612"/>
    <n v="6"/>
    <n v="8"/>
    <n v="2023"/>
    <d v="2023-08-06T00:00:00"/>
    <s v="CUST612"/>
    <x v="1"/>
    <x v="39"/>
    <x v="2"/>
    <x v="2"/>
    <n v="1"/>
    <n v="500"/>
    <n v="500"/>
    <n v="7.5"/>
  </r>
  <r>
    <n v="613"/>
    <n v="23"/>
    <n v="4"/>
    <n v="2023"/>
    <d v="2023-04-23T00:00:00"/>
    <s v="CUST613"/>
    <x v="1"/>
    <x v="8"/>
    <x v="2"/>
    <x v="1"/>
    <n v="3"/>
    <n v="30"/>
    <n v="90"/>
    <n v="1.3499999999999999"/>
  </r>
  <r>
    <n v="614"/>
    <n v="1"/>
    <n v="4"/>
    <n v="2023"/>
    <d v="2023-04-01T00:00:00"/>
    <s v="CUST614"/>
    <x v="1"/>
    <x v="23"/>
    <x v="0"/>
    <x v="0"/>
    <n v="4"/>
    <n v="300"/>
    <n v="1200"/>
    <n v="18"/>
  </r>
  <r>
    <n v="615"/>
    <n v="23"/>
    <n v="12"/>
    <n v="2023"/>
    <d v="2023-12-23T00:00:00"/>
    <s v="CUST615"/>
    <x v="1"/>
    <x v="39"/>
    <x v="2"/>
    <x v="1"/>
    <n v="4"/>
    <n v="25"/>
    <n v="100"/>
    <n v="1.5"/>
  </r>
  <r>
    <n v="616"/>
    <n v="23"/>
    <n v="9"/>
    <n v="2023"/>
    <d v="2023-09-23T00:00:00"/>
    <s v="CUST616"/>
    <x v="0"/>
    <x v="41"/>
    <x v="0"/>
    <x v="1"/>
    <n v="2"/>
    <n v="50"/>
    <n v="100"/>
    <n v="1.5"/>
  </r>
  <r>
    <n v="617"/>
    <n v="26"/>
    <n v="8"/>
    <n v="2023"/>
    <d v="2023-08-26T00:00:00"/>
    <s v="CUST617"/>
    <x v="0"/>
    <x v="0"/>
    <x v="0"/>
    <x v="2"/>
    <n v="1"/>
    <n v="30"/>
    <n v="30"/>
    <n v="0.44999999999999996"/>
  </r>
  <r>
    <n v="618"/>
    <n v="26"/>
    <n v="1"/>
    <n v="2023"/>
    <d v="2023-01-26T00:00:00"/>
    <s v="CUST618"/>
    <x v="1"/>
    <x v="15"/>
    <x v="1"/>
    <x v="0"/>
    <n v="1"/>
    <n v="50"/>
    <n v="50"/>
    <n v="0.75"/>
  </r>
  <r>
    <n v="619"/>
    <n v="13"/>
    <n v="10"/>
    <n v="2023"/>
    <d v="2023-10-13T00:00:00"/>
    <s v="CUST619"/>
    <x v="0"/>
    <x v="16"/>
    <x v="0"/>
    <x v="2"/>
    <n v="4"/>
    <n v="25"/>
    <n v="100"/>
    <n v="1.5"/>
  </r>
  <r>
    <n v="620"/>
    <n v="8"/>
    <n v="5"/>
    <n v="2023"/>
    <d v="2023-05-08T00:00:00"/>
    <s v="CUST620"/>
    <x v="0"/>
    <x v="7"/>
    <x v="2"/>
    <x v="2"/>
    <n v="3"/>
    <n v="25"/>
    <n v="75"/>
    <n v="1.125"/>
  </r>
  <r>
    <n v="621"/>
    <n v="4"/>
    <n v="3"/>
    <n v="2023"/>
    <d v="2023-03-04T00:00:00"/>
    <s v="CUST621"/>
    <x v="1"/>
    <x v="30"/>
    <x v="0"/>
    <x v="0"/>
    <n v="2"/>
    <n v="500"/>
    <n v="1000"/>
    <n v="15"/>
  </r>
  <r>
    <n v="622"/>
    <n v="22"/>
    <n v="8"/>
    <n v="2023"/>
    <d v="2023-08-22T00:00:00"/>
    <s v="CUST622"/>
    <x v="1"/>
    <x v="19"/>
    <x v="0"/>
    <x v="0"/>
    <n v="3"/>
    <n v="25"/>
    <n v="75"/>
    <n v="1.125"/>
  </r>
  <r>
    <n v="623"/>
    <n v="10"/>
    <n v="3"/>
    <n v="2023"/>
    <d v="2023-03-10T00:00:00"/>
    <s v="CUST623"/>
    <x v="0"/>
    <x v="0"/>
    <x v="0"/>
    <x v="1"/>
    <n v="3"/>
    <n v="50"/>
    <n v="150"/>
    <n v="2.25"/>
  </r>
  <r>
    <n v="624"/>
    <n v="26"/>
    <n v="8"/>
    <n v="2023"/>
    <d v="2023-08-26T00:00:00"/>
    <s v="CUST624"/>
    <x v="1"/>
    <x v="0"/>
    <x v="0"/>
    <x v="0"/>
    <n v="3"/>
    <n v="300"/>
    <n v="900"/>
    <n v="13.5"/>
  </r>
  <r>
    <n v="625"/>
    <n v="8"/>
    <n v="12"/>
    <n v="2023"/>
    <d v="2023-12-08T00:00:00"/>
    <s v="CUST625"/>
    <x v="0"/>
    <x v="33"/>
    <x v="0"/>
    <x v="1"/>
    <n v="1"/>
    <n v="300"/>
    <n v="300"/>
    <n v="4.5"/>
  </r>
  <r>
    <n v="626"/>
    <n v="29"/>
    <n v="9"/>
    <n v="2023"/>
    <d v="2023-09-29T00:00:00"/>
    <s v="CUST626"/>
    <x v="1"/>
    <x v="1"/>
    <x v="1"/>
    <x v="1"/>
    <n v="4"/>
    <n v="500"/>
    <n v="2000"/>
    <n v="30"/>
  </r>
  <r>
    <n v="627"/>
    <n v="14"/>
    <n v="10"/>
    <n v="2023"/>
    <d v="2023-10-14T00:00:00"/>
    <s v="CUST627"/>
    <x v="0"/>
    <x v="35"/>
    <x v="2"/>
    <x v="1"/>
    <n v="1"/>
    <n v="50"/>
    <n v="50"/>
    <n v="0.75"/>
  </r>
  <r>
    <n v="628"/>
    <n v="1"/>
    <n v="11"/>
    <n v="2023"/>
    <d v="2023-11-01T00:00:00"/>
    <s v="CUST628"/>
    <x v="1"/>
    <x v="14"/>
    <x v="1"/>
    <x v="0"/>
    <n v="4"/>
    <n v="50"/>
    <n v="200"/>
    <n v="3"/>
  </r>
  <r>
    <n v="629"/>
    <n v="12"/>
    <n v="6"/>
    <n v="2023"/>
    <d v="2023-06-12T00:00:00"/>
    <s v="CUST629"/>
    <x v="0"/>
    <x v="17"/>
    <x v="2"/>
    <x v="2"/>
    <n v="2"/>
    <n v="25"/>
    <n v="50"/>
    <n v="0.75"/>
  </r>
  <r>
    <n v="630"/>
    <n v="15"/>
    <n v="8"/>
    <n v="2023"/>
    <d v="2023-08-15T00:00:00"/>
    <s v="CUST630"/>
    <x v="0"/>
    <x v="13"/>
    <x v="0"/>
    <x v="1"/>
    <n v="2"/>
    <n v="50"/>
    <n v="100"/>
    <n v="1.5"/>
  </r>
  <r>
    <n v="631"/>
    <n v="10"/>
    <n v="11"/>
    <n v="2023"/>
    <d v="2023-11-10T00:00:00"/>
    <s v="CUST631"/>
    <x v="0"/>
    <x v="37"/>
    <x v="2"/>
    <x v="2"/>
    <n v="3"/>
    <n v="30"/>
    <n v="90"/>
    <n v="1.3499999999999999"/>
  </r>
  <r>
    <n v="632"/>
    <n v="16"/>
    <n v="9"/>
    <n v="2023"/>
    <d v="2023-09-16T00:00:00"/>
    <s v="CUST632"/>
    <x v="1"/>
    <x v="1"/>
    <x v="1"/>
    <x v="2"/>
    <n v="4"/>
    <n v="25"/>
    <n v="100"/>
    <n v="1.5"/>
  </r>
  <r>
    <n v="633"/>
    <n v="7"/>
    <n v="8"/>
    <n v="2023"/>
    <d v="2023-08-07T00:00:00"/>
    <s v="CUST633"/>
    <x v="0"/>
    <x v="23"/>
    <x v="0"/>
    <x v="0"/>
    <n v="4"/>
    <n v="30"/>
    <n v="120"/>
    <n v="1.7999999999999998"/>
  </r>
  <r>
    <n v="634"/>
    <n v="8"/>
    <n v="10"/>
    <n v="2023"/>
    <d v="2023-10-08T00:00:00"/>
    <s v="CUST634"/>
    <x v="0"/>
    <x v="43"/>
    <x v="2"/>
    <x v="2"/>
    <n v="4"/>
    <n v="500"/>
    <n v="2000"/>
    <n v="30"/>
  </r>
  <r>
    <n v="635"/>
    <n v="17"/>
    <n v="8"/>
    <n v="2023"/>
    <d v="2023-08-17T00:00:00"/>
    <s v="CUST635"/>
    <x v="1"/>
    <x v="7"/>
    <x v="2"/>
    <x v="2"/>
    <n v="3"/>
    <n v="300"/>
    <n v="900"/>
    <n v="13.5"/>
  </r>
  <r>
    <n v="636"/>
    <n v="23"/>
    <n v="3"/>
    <n v="2023"/>
    <d v="2023-03-23T00:00:00"/>
    <s v="CUST636"/>
    <x v="1"/>
    <x v="34"/>
    <x v="1"/>
    <x v="0"/>
    <n v="3"/>
    <n v="500"/>
    <n v="1500"/>
    <n v="22.5"/>
  </r>
  <r>
    <n v="637"/>
    <n v="1"/>
    <n v="9"/>
    <n v="2023"/>
    <d v="2023-09-01T00:00:00"/>
    <s v="CUST637"/>
    <x v="0"/>
    <x v="22"/>
    <x v="0"/>
    <x v="1"/>
    <n v="2"/>
    <n v="300"/>
    <n v="600"/>
    <n v="9"/>
  </r>
  <r>
    <n v="638"/>
    <n v="19"/>
    <n v="8"/>
    <n v="2023"/>
    <d v="2023-08-19T00:00:00"/>
    <s v="CUST638"/>
    <x v="0"/>
    <x v="6"/>
    <x v="0"/>
    <x v="2"/>
    <n v="1"/>
    <n v="500"/>
    <n v="500"/>
    <n v="7.5"/>
  </r>
  <r>
    <n v="639"/>
    <n v="13"/>
    <n v="5"/>
    <n v="2023"/>
    <d v="2023-05-13T00:00:00"/>
    <s v="CUST639"/>
    <x v="1"/>
    <x v="17"/>
    <x v="2"/>
    <x v="0"/>
    <n v="4"/>
    <n v="50"/>
    <n v="200"/>
    <n v="3"/>
  </r>
  <r>
    <n v="640"/>
    <n v="7"/>
    <n v="5"/>
    <n v="2023"/>
    <d v="2023-05-07T00:00:00"/>
    <s v="CUST640"/>
    <x v="1"/>
    <x v="25"/>
    <x v="2"/>
    <x v="2"/>
    <n v="4"/>
    <n v="30"/>
    <n v="120"/>
    <n v="1.7999999999999998"/>
  </r>
  <r>
    <n v="641"/>
    <n v="23"/>
    <n v="11"/>
    <n v="2023"/>
    <d v="2023-11-23T00:00:00"/>
    <s v="CUST641"/>
    <x v="1"/>
    <x v="30"/>
    <x v="0"/>
    <x v="2"/>
    <n v="1"/>
    <n v="300"/>
    <n v="300"/>
    <n v="4.5"/>
  </r>
  <r>
    <n v="642"/>
    <n v="22"/>
    <n v="5"/>
    <n v="2023"/>
    <d v="2023-05-22T00:00:00"/>
    <s v="CUST642"/>
    <x v="1"/>
    <x v="31"/>
    <x v="2"/>
    <x v="1"/>
    <n v="4"/>
    <n v="25"/>
    <n v="100"/>
    <n v="1.5"/>
  </r>
  <r>
    <n v="643"/>
    <n v="24"/>
    <n v="9"/>
    <n v="2023"/>
    <d v="2023-09-24T00:00:00"/>
    <s v="CUST643"/>
    <x v="1"/>
    <x v="20"/>
    <x v="1"/>
    <x v="2"/>
    <n v="3"/>
    <n v="30"/>
    <n v="90"/>
    <n v="1.3499999999999999"/>
  </r>
  <r>
    <n v="644"/>
    <n v="6"/>
    <n v="9"/>
    <n v="2023"/>
    <d v="2023-09-06T00:00:00"/>
    <s v="CUST644"/>
    <x v="0"/>
    <x v="9"/>
    <x v="1"/>
    <x v="0"/>
    <n v="3"/>
    <n v="25"/>
    <n v="75"/>
    <n v="1.125"/>
  </r>
  <r>
    <n v="645"/>
    <n v="17"/>
    <n v="11"/>
    <n v="2023"/>
    <d v="2023-11-17T00:00:00"/>
    <s v="CUST645"/>
    <x v="1"/>
    <x v="10"/>
    <x v="0"/>
    <x v="2"/>
    <n v="4"/>
    <n v="30"/>
    <n v="120"/>
    <n v="1.7999999999999998"/>
  </r>
  <r>
    <n v="646"/>
    <n v="3"/>
    <n v="5"/>
    <n v="2023"/>
    <d v="2023-05-03T00:00:00"/>
    <s v="CUST646"/>
    <x v="0"/>
    <x v="21"/>
    <x v="0"/>
    <x v="1"/>
    <n v="3"/>
    <n v="30"/>
    <n v="90"/>
    <n v="1.3499999999999999"/>
  </r>
  <r>
    <n v="647"/>
    <n v="21"/>
    <n v="5"/>
    <n v="2023"/>
    <d v="2023-05-21T00:00:00"/>
    <s v="CUST647"/>
    <x v="0"/>
    <x v="42"/>
    <x v="2"/>
    <x v="1"/>
    <n v="3"/>
    <n v="500"/>
    <n v="1500"/>
    <n v="22.5"/>
  </r>
  <r>
    <n v="648"/>
    <n v="14"/>
    <n v="8"/>
    <n v="2023"/>
    <d v="2023-08-14T00:00:00"/>
    <s v="CUST648"/>
    <x v="0"/>
    <x v="45"/>
    <x v="2"/>
    <x v="0"/>
    <n v="4"/>
    <n v="300"/>
    <n v="1200"/>
    <n v="18"/>
  </r>
  <r>
    <n v="649"/>
    <n v="9"/>
    <n v="2"/>
    <n v="2023"/>
    <d v="2023-02-09T00:00:00"/>
    <s v="CUST649"/>
    <x v="1"/>
    <x v="26"/>
    <x v="2"/>
    <x v="1"/>
    <n v="2"/>
    <n v="300"/>
    <n v="600"/>
    <n v="9"/>
  </r>
  <r>
    <n v="650"/>
    <n v="1"/>
    <n v="1"/>
    <n v="2024"/>
    <d v="2024-01-01T00:00:00"/>
    <s v="CUST650"/>
    <x v="0"/>
    <x v="28"/>
    <x v="2"/>
    <x v="2"/>
    <n v="1"/>
    <n v="30"/>
    <n v="30"/>
    <n v="0.44999999999999996"/>
  </r>
  <r>
    <n v="651"/>
    <n v="27"/>
    <n v="5"/>
    <n v="2023"/>
    <d v="2023-05-27T00:00:00"/>
    <s v="CUST651"/>
    <x v="0"/>
    <x v="25"/>
    <x v="2"/>
    <x v="1"/>
    <n v="3"/>
    <n v="50"/>
    <n v="150"/>
    <n v="2.25"/>
  </r>
  <r>
    <n v="652"/>
    <n v="1"/>
    <n v="5"/>
    <n v="2023"/>
    <d v="2023-05-01T00:00:00"/>
    <s v="CUST652"/>
    <x v="1"/>
    <x v="0"/>
    <x v="0"/>
    <x v="0"/>
    <n v="2"/>
    <n v="50"/>
    <n v="100"/>
    <n v="1.5"/>
  </r>
  <r>
    <n v="653"/>
    <n v="20"/>
    <n v="5"/>
    <n v="2023"/>
    <d v="2023-05-20T00:00:00"/>
    <s v="CUST653"/>
    <x v="0"/>
    <x v="31"/>
    <x v="2"/>
    <x v="1"/>
    <n v="3"/>
    <n v="25"/>
    <n v="75"/>
    <n v="1.125"/>
  </r>
  <r>
    <n v="654"/>
    <n v="21"/>
    <n v="6"/>
    <n v="2023"/>
    <d v="2023-06-21T00:00:00"/>
    <s v="CUST654"/>
    <x v="0"/>
    <x v="13"/>
    <x v="0"/>
    <x v="1"/>
    <n v="3"/>
    <n v="25"/>
    <n v="75"/>
    <n v="1.125"/>
  </r>
  <r>
    <n v="655"/>
    <n v="13"/>
    <n v="6"/>
    <n v="2023"/>
    <d v="2023-06-13T00:00:00"/>
    <s v="CUST655"/>
    <x v="1"/>
    <x v="28"/>
    <x v="2"/>
    <x v="1"/>
    <n v="1"/>
    <n v="500"/>
    <n v="500"/>
    <n v="7.5"/>
  </r>
  <r>
    <n v="656"/>
    <n v="4"/>
    <n v="10"/>
    <n v="2023"/>
    <d v="2023-10-04T00:00:00"/>
    <s v="CUST656"/>
    <x v="0"/>
    <x v="38"/>
    <x v="1"/>
    <x v="0"/>
    <n v="3"/>
    <n v="30"/>
    <n v="90"/>
    <n v="1.3499999999999999"/>
  </r>
  <r>
    <n v="657"/>
    <n v="11"/>
    <n v="2"/>
    <n v="2023"/>
    <d v="2023-02-11T00:00:00"/>
    <s v="CUST657"/>
    <x v="0"/>
    <x v="30"/>
    <x v="0"/>
    <x v="1"/>
    <n v="1"/>
    <n v="25"/>
    <n v="25"/>
    <n v="0.375"/>
  </r>
  <r>
    <n v="658"/>
    <n v="12"/>
    <n v="3"/>
    <n v="2023"/>
    <d v="2023-03-12T00:00:00"/>
    <s v="CUST658"/>
    <x v="0"/>
    <x v="42"/>
    <x v="2"/>
    <x v="1"/>
    <n v="1"/>
    <n v="25"/>
    <n v="25"/>
    <n v="0.375"/>
  </r>
  <r>
    <n v="659"/>
    <n v="19"/>
    <n v="3"/>
    <n v="2023"/>
    <d v="2023-03-19T00:00:00"/>
    <s v="CUST659"/>
    <x v="1"/>
    <x v="23"/>
    <x v="0"/>
    <x v="2"/>
    <n v="1"/>
    <n v="30"/>
    <n v="30"/>
    <n v="0.44999999999999996"/>
  </r>
  <r>
    <n v="660"/>
    <n v="29"/>
    <n v="4"/>
    <n v="2023"/>
    <d v="2023-04-29T00:00:00"/>
    <s v="CUST660"/>
    <x v="1"/>
    <x v="21"/>
    <x v="0"/>
    <x v="0"/>
    <n v="2"/>
    <n v="500"/>
    <n v="1000"/>
    <n v="15"/>
  </r>
  <r>
    <n v="661"/>
    <n v="16"/>
    <n v="7"/>
    <n v="2023"/>
    <d v="2023-07-16T00:00:00"/>
    <s v="CUST661"/>
    <x v="1"/>
    <x v="24"/>
    <x v="0"/>
    <x v="1"/>
    <n v="4"/>
    <n v="25"/>
    <n v="100"/>
    <n v="1.5"/>
  </r>
  <r>
    <n v="662"/>
    <n v="22"/>
    <n v="12"/>
    <n v="2023"/>
    <d v="2023-12-22T00:00:00"/>
    <s v="CUST662"/>
    <x v="0"/>
    <x v="27"/>
    <x v="0"/>
    <x v="0"/>
    <n v="2"/>
    <n v="500"/>
    <n v="1000"/>
    <n v="15"/>
  </r>
  <r>
    <n v="663"/>
    <n v="20"/>
    <n v="3"/>
    <n v="2023"/>
    <d v="2023-03-20T00:00:00"/>
    <s v="CUST663"/>
    <x v="0"/>
    <x v="9"/>
    <x v="1"/>
    <x v="1"/>
    <n v="4"/>
    <n v="300"/>
    <n v="1200"/>
    <n v="18"/>
  </r>
  <r>
    <n v="664"/>
    <n v="28"/>
    <n v="12"/>
    <n v="2023"/>
    <d v="2023-12-28T00:00:00"/>
    <s v="CUST664"/>
    <x v="1"/>
    <x v="24"/>
    <x v="0"/>
    <x v="1"/>
    <n v="4"/>
    <n v="500"/>
    <n v="2000"/>
    <n v="30"/>
  </r>
  <r>
    <n v="665"/>
    <n v="20"/>
    <n v="4"/>
    <n v="2023"/>
    <d v="2023-04-20T00:00:00"/>
    <s v="CUST665"/>
    <x v="0"/>
    <x v="35"/>
    <x v="2"/>
    <x v="1"/>
    <n v="1"/>
    <n v="50"/>
    <n v="50"/>
    <n v="0.75"/>
  </r>
  <r>
    <n v="666"/>
    <n v="2"/>
    <n v="2"/>
    <n v="2023"/>
    <d v="2023-02-02T00:00:00"/>
    <s v="CUST666"/>
    <x v="0"/>
    <x v="25"/>
    <x v="2"/>
    <x v="2"/>
    <n v="3"/>
    <n v="50"/>
    <n v="150"/>
    <n v="2.25"/>
  </r>
  <r>
    <n v="667"/>
    <n v="1"/>
    <n v="8"/>
    <n v="2023"/>
    <d v="2023-08-01T00:00:00"/>
    <s v="CUST667"/>
    <x v="1"/>
    <x v="38"/>
    <x v="1"/>
    <x v="2"/>
    <n v="1"/>
    <n v="500"/>
    <n v="500"/>
    <n v="7.5"/>
  </r>
  <r>
    <n v="668"/>
    <n v="28"/>
    <n v="7"/>
    <n v="2023"/>
    <d v="2023-07-28T00:00:00"/>
    <s v="CUST668"/>
    <x v="1"/>
    <x v="17"/>
    <x v="2"/>
    <x v="2"/>
    <n v="3"/>
    <n v="50"/>
    <n v="150"/>
    <n v="2.25"/>
  </r>
  <r>
    <n v="669"/>
    <n v="19"/>
    <n v="6"/>
    <n v="2023"/>
    <d v="2023-06-19T00:00:00"/>
    <s v="CUST669"/>
    <x v="0"/>
    <x v="46"/>
    <x v="1"/>
    <x v="0"/>
    <n v="4"/>
    <n v="300"/>
    <n v="1200"/>
    <n v="18"/>
  </r>
  <r>
    <n v="670"/>
    <n v="5"/>
    <n v="10"/>
    <n v="2023"/>
    <d v="2023-10-05T00:00:00"/>
    <s v="CUST670"/>
    <x v="0"/>
    <x v="15"/>
    <x v="1"/>
    <x v="0"/>
    <n v="1"/>
    <n v="30"/>
    <n v="30"/>
    <n v="0.44999999999999996"/>
  </r>
  <r>
    <n v="671"/>
    <n v="27"/>
    <n v="8"/>
    <n v="2023"/>
    <d v="2023-08-27T00:00:00"/>
    <s v="CUST671"/>
    <x v="0"/>
    <x v="17"/>
    <x v="2"/>
    <x v="2"/>
    <n v="3"/>
    <n v="50"/>
    <n v="150"/>
    <n v="2.25"/>
  </r>
  <r>
    <n v="672"/>
    <n v="1"/>
    <n v="8"/>
    <n v="2023"/>
    <d v="2023-08-01T00:00:00"/>
    <s v="CUST672"/>
    <x v="1"/>
    <x v="0"/>
    <x v="0"/>
    <x v="0"/>
    <n v="2"/>
    <n v="50"/>
    <n v="100"/>
    <n v="1.5"/>
  </r>
  <r>
    <n v="673"/>
    <n v="1"/>
    <n v="2"/>
    <n v="2023"/>
    <d v="2023-02-01T00:00:00"/>
    <s v="CUST673"/>
    <x v="1"/>
    <x v="22"/>
    <x v="0"/>
    <x v="1"/>
    <n v="3"/>
    <n v="500"/>
    <n v="1500"/>
    <n v="22.5"/>
  </r>
  <r>
    <n v="674"/>
    <n v="16"/>
    <n v="4"/>
    <n v="2023"/>
    <d v="2023-04-16T00:00:00"/>
    <s v="CUST674"/>
    <x v="1"/>
    <x v="21"/>
    <x v="0"/>
    <x v="1"/>
    <n v="1"/>
    <n v="300"/>
    <n v="300"/>
    <n v="4.5"/>
  </r>
  <r>
    <n v="675"/>
    <n v="4"/>
    <n v="8"/>
    <n v="2023"/>
    <d v="2023-08-04T00:00:00"/>
    <s v="CUST675"/>
    <x v="1"/>
    <x v="5"/>
    <x v="0"/>
    <x v="1"/>
    <n v="2"/>
    <n v="30"/>
    <n v="60"/>
    <n v="0.89999999999999991"/>
  </r>
  <r>
    <n v="676"/>
    <n v="19"/>
    <n v="7"/>
    <n v="2023"/>
    <d v="2023-07-19T00:00:00"/>
    <s v="CUST676"/>
    <x v="0"/>
    <x v="7"/>
    <x v="2"/>
    <x v="2"/>
    <n v="3"/>
    <n v="500"/>
    <n v="1500"/>
    <n v="22.5"/>
  </r>
  <r>
    <n v="677"/>
    <n v="27"/>
    <n v="10"/>
    <n v="2023"/>
    <d v="2023-10-27T00:00:00"/>
    <s v="CUST677"/>
    <x v="1"/>
    <x v="14"/>
    <x v="1"/>
    <x v="0"/>
    <n v="3"/>
    <n v="500"/>
    <n v="1500"/>
    <n v="22.5"/>
  </r>
  <r>
    <n v="678"/>
    <n v="23"/>
    <n v="12"/>
    <n v="2023"/>
    <d v="2023-12-23T00:00:00"/>
    <s v="CUST678"/>
    <x v="1"/>
    <x v="43"/>
    <x v="2"/>
    <x v="2"/>
    <n v="3"/>
    <n v="300"/>
    <n v="900"/>
    <n v="13.5"/>
  </r>
  <r>
    <n v="679"/>
    <n v="11"/>
    <n v="1"/>
    <n v="2023"/>
    <d v="2023-01-11T00:00:00"/>
    <s v="CUST679"/>
    <x v="1"/>
    <x v="18"/>
    <x v="1"/>
    <x v="0"/>
    <n v="3"/>
    <n v="30"/>
    <n v="90"/>
    <n v="1.3499999999999999"/>
  </r>
  <r>
    <n v="680"/>
    <n v="22"/>
    <n v="10"/>
    <n v="2023"/>
    <d v="2023-10-22T00:00:00"/>
    <s v="CUST680"/>
    <x v="1"/>
    <x v="45"/>
    <x v="2"/>
    <x v="1"/>
    <n v="3"/>
    <n v="300"/>
    <n v="900"/>
    <n v="13.5"/>
  </r>
  <r>
    <n v="681"/>
    <n v="14"/>
    <n v="7"/>
    <n v="2023"/>
    <d v="2023-07-14T00:00:00"/>
    <s v="CUST681"/>
    <x v="1"/>
    <x v="22"/>
    <x v="0"/>
    <x v="2"/>
    <n v="2"/>
    <n v="30"/>
    <n v="60"/>
    <n v="0.89999999999999991"/>
  </r>
  <r>
    <n v="682"/>
    <n v="2"/>
    <n v="9"/>
    <n v="2023"/>
    <d v="2023-09-02T00:00:00"/>
    <s v="CUST682"/>
    <x v="0"/>
    <x v="6"/>
    <x v="0"/>
    <x v="0"/>
    <n v="4"/>
    <n v="300"/>
    <n v="1200"/>
    <n v="18"/>
  </r>
  <r>
    <n v="683"/>
    <n v="4"/>
    <n v="1"/>
    <n v="2023"/>
    <d v="2023-01-04T00:00:00"/>
    <s v="CUST683"/>
    <x v="0"/>
    <x v="21"/>
    <x v="0"/>
    <x v="0"/>
    <n v="2"/>
    <n v="500"/>
    <n v="1000"/>
    <n v="15"/>
  </r>
  <r>
    <n v="684"/>
    <n v="30"/>
    <n v="6"/>
    <n v="2023"/>
    <d v="2023-06-30T00:00:00"/>
    <s v="CUST684"/>
    <x v="1"/>
    <x v="20"/>
    <x v="1"/>
    <x v="1"/>
    <n v="2"/>
    <n v="500"/>
    <n v="1000"/>
    <n v="15"/>
  </r>
  <r>
    <n v="685"/>
    <n v="2"/>
    <n v="6"/>
    <n v="2023"/>
    <d v="2023-06-02T00:00:00"/>
    <s v="CUST685"/>
    <x v="0"/>
    <x v="35"/>
    <x v="2"/>
    <x v="2"/>
    <n v="2"/>
    <n v="25"/>
    <n v="50"/>
    <n v="0.75"/>
  </r>
  <r>
    <n v="686"/>
    <n v="19"/>
    <n v="7"/>
    <n v="2023"/>
    <d v="2023-07-19T00:00:00"/>
    <s v="CUST686"/>
    <x v="1"/>
    <x v="20"/>
    <x v="1"/>
    <x v="2"/>
    <n v="4"/>
    <n v="50"/>
    <n v="200"/>
    <n v="3"/>
  </r>
  <r>
    <n v="687"/>
    <n v="3"/>
    <n v="8"/>
    <n v="2023"/>
    <d v="2023-08-03T00:00:00"/>
    <s v="CUST687"/>
    <x v="1"/>
    <x v="45"/>
    <x v="2"/>
    <x v="2"/>
    <n v="1"/>
    <n v="300"/>
    <n v="300"/>
    <n v="4.5"/>
  </r>
  <r>
    <n v="688"/>
    <n v="3"/>
    <n v="10"/>
    <n v="2023"/>
    <d v="2023-10-03T00:00:00"/>
    <s v="CUST688"/>
    <x v="0"/>
    <x v="37"/>
    <x v="2"/>
    <x v="1"/>
    <n v="4"/>
    <n v="25"/>
    <n v="100"/>
    <n v="1.5"/>
  </r>
  <r>
    <n v="689"/>
    <n v="7"/>
    <n v="10"/>
    <n v="2023"/>
    <d v="2023-10-07T00:00:00"/>
    <s v="CUST689"/>
    <x v="0"/>
    <x v="35"/>
    <x v="2"/>
    <x v="2"/>
    <n v="2"/>
    <n v="50"/>
    <n v="100"/>
    <n v="1.5"/>
  </r>
  <r>
    <n v="690"/>
    <n v="5"/>
    <n v="11"/>
    <n v="2023"/>
    <d v="2023-11-05T00:00:00"/>
    <s v="CUST690"/>
    <x v="1"/>
    <x v="8"/>
    <x v="2"/>
    <x v="1"/>
    <n v="3"/>
    <n v="300"/>
    <n v="900"/>
    <n v="13.5"/>
  </r>
  <r>
    <n v="691"/>
    <n v="23"/>
    <n v="4"/>
    <n v="2023"/>
    <d v="2023-04-23T00:00:00"/>
    <s v="CUST691"/>
    <x v="1"/>
    <x v="25"/>
    <x v="2"/>
    <x v="1"/>
    <n v="3"/>
    <n v="30"/>
    <n v="90"/>
    <n v="1.3499999999999999"/>
  </r>
  <r>
    <n v="692"/>
    <n v="7"/>
    <n v="9"/>
    <n v="2023"/>
    <d v="2023-09-07T00:00:00"/>
    <s v="CUST692"/>
    <x v="1"/>
    <x v="12"/>
    <x v="2"/>
    <x v="1"/>
    <n v="2"/>
    <n v="50"/>
    <n v="100"/>
    <n v="1.5"/>
  </r>
  <r>
    <n v="693"/>
    <n v="23"/>
    <n v="4"/>
    <n v="2023"/>
    <d v="2023-04-23T00:00:00"/>
    <s v="CUST693"/>
    <x v="0"/>
    <x v="41"/>
    <x v="0"/>
    <x v="0"/>
    <n v="3"/>
    <n v="500"/>
    <n v="1500"/>
    <n v="22.5"/>
  </r>
  <r>
    <n v="694"/>
    <n v="20"/>
    <n v="5"/>
    <n v="2023"/>
    <d v="2023-05-20T00:00:00"/>
    <s v="CUST694"/>
    <x v="1"/>
    <x v="23"/>
    <x v="0"/>
    <x v="2"/>
    <n v="2"/>
    <n v="25"/>
    <n v="50"/>
    <n v="0.75"/>
  </r>
  <r>
    <n v="695"/>
    <n v="12"/>
    <n v="8"/>
    <n v="2023"/>
    <d v="2023-08-12T00:00:00"/>
    <s v="CUST695"/>
    <x v="1"/>
    <x v="11"/>
    <x v="1"/>
    <x v="2"/>
    <n v="3"/>
    <n v="50"/>
    <n v="150"/>
    <n v="2.25"/>
  </r>
  <r>
    <n v="696"/>
    <n v="6"/>
    <n v="9"/>
    <n v="2023"/>
    <d v="2023-09-06T00:00:00"/>
    <s v="CUST696"/>
    <x v="1"/>
    <x v="2"/>
    <x v="2"/>
    <x v="1"/>
    <n v="4"/>
    <n v="50"/>
    <n v="200"/>
    <n v="3"/>
  </r>
  <r>
    <n v="697"/>
    <n v="15"/>
    <n v="1"/>
    <n v="2023"/>
    <d v="2023-01-15T00:00:00"/>
    <s v="CUST697"/>
    <x v="0"/>
    <x v="45"/>
    <x v="2"/>
    <x v="1"/>
    <n v="1"/>
    <n v="500"/>
    <n v="500"/>
    <n v="7.5"/>
  </r>
  <r>
    <n v="698"/>
    <n v="19"/>
    <n v="7"/>
    <n v="2023"/>
    <d v="2023-07-19T00:00:00"/>
    <s v="CUST698"/>
    <x v="1"/>
    <x v="12"/>
    <x v="2"/>
    <x v="2"/>
    <n v="1"/>
    <n v="300"/>
    <n v="300"/>
    <n v="4.5"/>
  </r>
  <r>
    <n v="699"/>
    <n v="22"/>
    <n v="6"/>
    <n v="2023"/>
    <d v="2023-06-22T00:00:00"/>
    <s v="CUST699"/>
    <x v="1"/>
    <x v="3"/>
    <x v="0"/>
    <x v="1"/>
    <n v="4"/>
    <n v="30"/>
    <n v="120"/>
    <n v="1.7999999999999998"/>
  </r>
  <r>
    <n v="700"/>
    <n v="9"/>
    <n v="12"/>
    <n v="2023"/>
    <d v="2023-12-09T00:00:00"/>
    <s v="CUST700"/>
    <x v="0"/>
    <x v="32"/>
    <x v="0"/>
    <x v="2"/>
    <n v="4"/>
    <n v="500"/>
    <n v="2000"/>
    <n v="30"/>
  </r>
  <r>
    <n v="701"/>
    <n v="14"/>
    <n v="12"/>
    <n v="2023"/>
    <d v="2023-12-14T00:00:00"/>
    <s v="CUST701"/>
    <x v="1"/>
    <x v="8"/>
    <x v="2"/>
    <x v="0"/>
    <n v="2"/>
    <n v="30"/>
    <n v="60"/>
    <n v="0.89999999999999991"/>
  </r>
  <r>
    <n v="702"/>
    <n v="27"/>
    <n v="7"/>
    <n v="2023"/>
    <d v="2023-07-27T00:00:00"/>
    <s v="CUST702"/>
    <x v="1"/>
    <x v="43"/>
    <x v="2"/>
    <x v="1"/>
    <n v="2"/>
    <n v="300"/>
    <n v="600"/>
    <n v="9"/>
  </r>
  <r>
    <n v="703"/>
    <n v="26"/>
    <n v="3"/>
    <n v="2023"/>
    <d v="2023-03-26T00:00:00"/>
    <s v="CUST703"/>
    <x v="0"/>
    <x v="0"/>
    <x v="0"/>
    <x v="2"/>
    <n v="2"/>
    <n v="50"/>
    <n v="100"/>
    <n v="1.5"/>
  </r>
  <r>
    <n v="704"/>
    <n v="28"/>
    <n v="8"/>
    <n v="2023"/>
    <d v="2023-08-28T00:00:00"/>
    <s v="CUST704"/>
    <x v="1"/>
    <x v="17"/>
    <x v="2"/>
    <x v="1"/>
    <n v="3"/>
    <n v="30"/>
    <n v="90"/>
    <n v="1.3499999999999999"/>
  </r>
  <r>
    <n v="705"/>
    <n v="7"/>
    <n v="3"/>
    <n v="2023"/>
    <d v="2023-03-07T00:00:00"/>
    <s v="CUST705"/>
    <x v="0"/>
    <x v="43"/>
    <x v="2"/>
    <x v="2"/>
    <n v="2"/>
    <n v="25"/>
    <n v="50"/>
    <n v="0.75"/>
  </r>
  <r>
    <n v="706"/>
    <n v="15"/>
    <n v="11"/>
    <n v="2023"/>
    <d v="2023-11-15T00:00:00"/>
    <s v="CUST706"/>
    <x v="0"/>
    <x v="25"/>
    <x v="2"/>
    <x v="2"/>
    <n v="4"/>
    <n v="25"/>
    <n v="100"/>
    <n v="1.5"/>
  </r>
  <r>
    <n v="707"/>
    <n v="1"/>
    <n v="10"/>
    <n v="2023"/>
    <d v="2023-10-01T00:00:00"/>
    <s v="CUST707"/>
    <x v="1"/>
    <x v="1"/>
    <x v="1"/>
    <x v="1"/>
    <n v="1"/>
    <n v="500"/>
    <n v="500"/>
    <n v="7.5"/>
  </r>
  <r>
    <n v="708"/>
    <n v="14"/>
    <n v="1"/>
    <n v="2023"/>
    <d v="2023-01-14T00:00:00"/>
    <s v="CUST708"/>
    <x v="1"/>
    <x v="22"/>
    <x v="0"/>
    <x v="0"/>
    <n v="3"/>
    <n v="300"/>
    <n v="900"/>
    <n v="13.5"/>
  </r>
  <r>
    <n v="709"/>
    <n v="21"/>
    <n v="7"/>
    <n v="2023"/>
    <d v="2023-07-21T00:00:00"/>
    <s v="CUST709"/>
    <x v="1"/>
    <x v="14"/>
    <x v="1"/>
    <x v="2"/>
    <n v="2"/>
    <n v="500"/>
    <n v="1000"/>
    <n v="15"/>
  </r>
  <r>
    <n v="710"/>
    <n v="31"/>
    <n v="10"/>
    <n v="2023"/>
    <d v="2023-10-31T00:00:00"/>
    <s v="CUST710"/>
    <x v="1"/>
    <x v="1"/>
    <x v="1"/>
    <x v="2"/>
    <n v="3"/>
    <n v="500"/>
    <n v="1500"/>
    <n v="22.5"/>
  </r>
  <r>
    <n v="711"/>
    <n v="16"/>
    <n v="10"/>
    <n v="2023"/>
    <d v="2023-10-16T00:00:00"/>
    <s v="CUST711"/>
    <x v="0"/>
    <x v="1"/>
    <x v="1"/>
    <x v="2"/>
    <n v="3"/>
    <n v="500"/>
    <n v="1500"/>
    <n v="22.5"/>
  </r>
  <r>
    <n v="712"/>
    <n v="6"/>
    <n v="12"/>
    <n v="2023"/>
    <d v="2023-12-06T00:00:00"/>
    <s v="CUST712"/>
    <x v="1"/>
    <x v="35"/>
    <x v="2"/>
    <x v="0"/>
    <n v="2"/>
    <n v="25"/>
    <n v="50"/>
    <n v="0.75"/>
  </r>
  <r>
    <n v="713"/>
    <n v="14"/>
    <n v="1"/>
    <n v="2023"/>
    <d v="2023-01-14T00:00:00"/>
    <s v="CUST713"/>
    <x v="0"/>
    <x v="0"/>
    <x v="0"/>
    <x v="0"/>
    <n v="3"/>
    <n v="25"/>
    <n v="75"/>
    <n v="1.125"/>
  </r>
  <r>
    <n v="714"/>
    <n v="12"/>
    <n v="2"/>
    <n v="2023"/>
    <d v="2023-02-12T00:00:00"/>
    <s v="CUST714"/>
    <x v="1"/>
    <x v="18"/>
    <x v="1"/>
    <x v="1"/>
    <n v="1"/>
    <n v="500"/>
    <n v="500"/>
    <n v="7.5"/>
  </r>
  <r>
    <n v="715"/>
    <n v="26"/>
    <n v="11"/>
    <n v="2023"/>
    <d v="2023-11-26T00:00:00"/>
    <s v="CUST715"/>
    <x v="1"/>
    <x v="13"/>
    <x v="0"/>
    <x v="0"/>
    <n v="4"/>
    <n v="25"/>
    <n v="100"/>
    <n v="1.5"/>
  </r>
  <r>
    <n v="716"/>
    <n v="8"/>
    <n v="8"/>
    <n v="2023"/>
    <d v="2023-08-08T00:00:00"/>
    <s v="CUST716"/>
    <x v="1"/>
    <x v="43"/>
    <x v="2"/>
    <x v="1"/>
    <n v="4"/>
    <n v="300"/>
    <n v="1200"/>
    <n v="18"/>
  </r>
  <r>
    <n v="717"/>
    <n v="11"/>
    <n v="3"/>
    <n v="2023"/>
    <d v="2023-03-11T00:00:00"/>
    <s v="CUST717"/>
    <x v="0"/>
    <x v="35"/>
    <x v="2"/>
    <x v="1"/>
    <n v="1"/>
    <n v="500"/>
    <n v="500"/>
    <n v="7.5"/>
  </r>
  <r>
    <n v="718"/>
    <n v="25"/>
    <n v="8"/>
    <n v="2023"/>
    <d v="2023-08-25T00:00:00"/>
    <s v="CUST718"/>
    <x v="1"/>
    <x v="42"/>
    <x v="2"/>
    <x v="0"/>
    <n v="3"/>
    <n v="25"/>
    <n v="75"/>
    <n v="1.125"/>
  </r>
  <r>
    <n v="719"/>
    <n v="4"/>
    <n v="4"/>
    <n v="2023"/>
    <d v="2023-04-04T00:00:00"/>
    <s v="CUST719"/>
    <x v="1"/>
    <x v="13"/>
    <x v="0"/>
    <x v="1"/>
    <n v="2"/>
    <n v="30"/>
    <n v="60"/>
    <n v="0.89999999999999991"/>
  </r>
  <r>
    <n v="720"/>
    <n v="26"/>
    <n v="1"/>
    <n v="2023"/>
    <d v="2023-01-26T00:00:00"/>
    <s v="CUST720"/>
    <x v="1"/>
    <x v="37"/>
    <x v="2"/>
    <x v="0"/>
    <n v="3"/>
    <n v="500"/>
    <n v="1500"/>
    <n v="22.5"/>
  </r>
  <r>
    <n v="721"/>
    <n v="14"/>
    <n v="5"/>
    <n v="2023"/>
    <d v="2023-05-14T00:00:00"/>
    <s v="CUST721"/>
    <x v="1"/>
    <x v="8"/>
    <x v="2"/>
    <x v="1"/>
    <n v="1"/>
    <n v="500"/>
    <n v="500"/>
    <n v="7.5"/>
  </r>
  <r>
    <n v="722"/>
    <n v="14"/>
    <n v="7"/>
    <n v="2023"/>
    <d v="2023-07-14T00:00:00"/>
    <s v="CUST722"/>
    <x v="0"/>
    <x v="29"/>
    <x v="1"/>
    <x v="0"/>
    <n v="3"/>
    <n v="300"/>
    <n v="900"/>
    <n v="13.5"/>
  </r>
  <r>
    <n v="723"/>
    <n v="17"/>
    <n v="6"/>
    <n v="2023"/>
    <d v="2023-06-17T00:00:00"/>
    <s v="CUST723"/>
    <x v="1"/>
    <x v="31"/>
    <x v="2"/>
    <x v="0"/>
    <n v="4"/>
    <n v="50"/>
    <n v="200"/>
    <n v="3"/>
  </r>
  <r>
    <n v="724"/>
    <n v="19"/>
    <n v="4"/>
    <n v="2023"/>
    <d v="2023-04-19T00:00:00"/>
    <s v="CUST724"/>
    <x v="0"/>
    <x v="39"/>
    <x v="2"/>
    <x v="1"/>
    <n v="3"/>
    <n v="50"/>
    <n v="150"/>
    <n v="2.25"/>
  </r>
  <r>
    <n v="725"/>
    <n v="21"/>
    <n v="8"/>
    <n v="2023"/>
    <d v="2023-08-21T00:00:00"/>
    <s v="CUST725"/>
    <x v="0"/>
    <x v="39"/>
    <x v="2"/>
    <x v="2"/>
    <n v="1"/>
    <n v="300"/>
    <n v="300"/>
    <n v="4.5"/>
  </r>
  <r>
    <n v="726"/>
    <n v="17"/>
    <n v="6"/>
    <n v="2023"/>
    <d v="2023-06-17T00:00:00"/>
    <s v="CUST726"/>
    <x v="0"/>
    <x v="16"/>
    <x v="0"/>
    <x v="1"/>
    <n v="4"/>
    <n v="300"/>
    <n v="1200"/>
    <n v="18"/>
  </r>
  <r>
    <n v="727"/>
    <n v="22"/>
    <n v="6"/>
    <n v="2023"/>
    <d v="2023-06-22T00:00:00"/>
    <s v="CUST727"/>
    <x v="0"/>
    <x v="28"/>
    <x v="2"/>
    <x v="0"/>
    <n v="3"/>
    <n v="300"/>
    <n v="900"/>
    <n v="13.5"/>
  </r>
  <r>
    <n v="728"/>
    <n v="14"/>
    <n v="7"/>
    <n v="2023"/>
    <d v="2023-07-14T00:00:00"/>
    <s v="CUST728"/>
    <x v="0"/>
    <x v="25"/>
    <x v="2"/>
    <x v="2"/>
    <n v="3"/>
    <n v="50"/>
    <n v="150"/>
    <n v="2.25"/>
  </r>
  <r>
    <n v="729"/>
    <n v="23"/>
    <n v="5"/>
    <n v="2023"/>
    <d v="2023-05-23T00:00:00"/>
    <s v="CUST729"/>
    <x v="0"/>
    <x v="38"/>
    <x v="1"/>
    <x v="1"/>
    <n v="4"/>
    <n v="300"/>
    <n v="1200"/>
    <n v="18"/>
  </r>
  <r>
    <n v="730"/>
    <n v="4"/>
    <n v="8"/>
    <n v="2023"/>
    <d v="2023-08-04T00:00:00"/>
    <s v="CUST730"/>
    <x v="1"/>
    <x v="32"/>
    <x v="0"/>
    <x v="1"/>
    <n v="2"/>
    <n v="25"/>
    <n v="50"/>
    <n v="0.75"/>
  </r>
  <r>
    <n v="731"/>
    <n v="10"/>
    <n v="5"/>
    <n v="2023"/>
    <d v="2023-05-10T00:00:00"/>
    <s v="CUST731"/>
    <x v="0"/>
    <x v="31"/>
    <x v="2"/>
    <x v="1"/>
    <n v="4"/>
    <n v="500"/>
    <n v="2000"/>
    <n v="30"/>
  </r>
  <r>
    <n v="732"/>
    <n v="11"/>
    <n v="2"/>
    <n v="2023"/>
    <d v="2023-02-11T00:00:00"/>
    <s v="CUST732"/>
    <x v="0"/>
    <x v="39"/>
    <x v="2"/>
    <x v="2"/>
    <n v="2"/>
    <n v="500"/>
    <n v="1000"/>
    <n v="15"/>
  </r>
  <r>
    <n v="733"/>
    <n v="29"/>
    <n v="8"/>
    <n v="2023"/>
    <d v="2023-08-29T00:00:00"/>
    <s v="CUST733"/>
    <x v="0"/>
    <x v="0"/>
    <x v="0"/>
    <x v="0"/>
    <n v="1"/>
    <n v="30"/>
    <n v="30"/>
    <n v="0.44999999999999996"/>
  </r>
  <r>
    <n v="734"/>
    <n v="10"/>
    <n v="1"/>
    <n v="2023"/>
    <d v="2023-01-10T00:00:00"/>
    <s v="CUST734"/>
    <x v="1"/>
    <x v="15"/>
    <x v="1"/>
    <x v="1"/>
    <n v="1"/>
    <n v="30"/>
    <n v="30"/>
    <n v="0.44999999999999996"/>
  </r>
  <r>
    <n v="735"/>
    <n v="4"/>
    <n v="10"/>
    <n v="2023"/>
    <d v="2023-10-04T00:00:00"/>
    <s v="CUST735"/>
    <x v="1"/>
    <x v="12"/>
    <x v="2"/>
    <x v="1"/>
    <n v="4"/>
    <n v="500"/>
    <n v="2000"/>
    <n v="30"/>
  </r>
  <r>
    <n v="736"/>
    <n v="27"/>
    <n v="1"/>
    <n v="2023"/>
    <d v="2023-01-27T00:00:00"/>
    <s v="CUST736"/>
    <x v="0"/>
    <x v="38"/>
    <x v="1"/>
    <x v="1"/>
    <n v="4"/>
    <n v="25"/>
    <n v="100"/>
    <n v="1.5"/>
  </r>
  <r>
    <n v="737"/>
    <n v="29"/>
    <n v="6"/>
    <n v="2023"/>
    <d v="2023-06-29T00:00:00"/>
    <s v="CUST737"/>
    <x v="1"/>
    <x v="44"/>
    <x v="0"/>
    <x v="1"/>
    <n v="1"/>
    <n v="50"/>
    <n v="50"/>
    <n v="0.75"/>
  </r>
  <r>
    <n v="738"/>
    <n v="25"/>
    <n v="4"/>
    <n v="2023"/>
    <d v="2023-04-25T00:00:00"/>
    <s v="CUST738"/>
    <x v="0"/>
    <x v="41"/>
    <x v="0"/>
    <x v="1"/>
    <n v="2"/>
    <n v="50"/>
    <n v="100"/>
    <n v="1.5"/>
  </r>
  <r>
    <n v="739"/>
    <n v="29"/>
    <n v="11"/>
    <n v="2023"/>
    <d v="2023-11-29T00:00:00"/>
    <s v="CUST739"/>
    <x v="0"/>
    <x v="32"/>
    <x v="0"/>
    <x v="0"/>
    <n v="1"/>
    <n v="25"/>
    <n v="25"/>
    <n v="0.375"/>
  </r>
  <r>
    <n v="740"/>
    <n v="5"/>
    <n v="2"/>
    <n v="2023"/>
    <d v="2023-02-05T00:00:00"/>
    <s v="CUST740"/>
    <x v="1"/>
    <x v="36"/>
    <x v="1"/>
    <x v="0"/>
    <n v="4"/>
    <n v="50"/>
    <n v="200"/>
    <n v="3"/>
  </r>
  <r>
    <n v="741"/>
    <n v="30"/>
    <n v="11"/>
    <n v="2023"/>
    <d v="2023-11-30T00:00:00"/>
    <s v="CUST741"/>
    <x v="0"/>
    <x v="27"/>
    <x v="0"/>
    <x v="1"/>
    <n v="1"/>
    <n v="300"/>
    <n v="300"/>
    <n v="4.5"/>
  </r>
  <r>
    <n v="742"/>
    <n v="21"/>
    <n v="1"/>
    <n v="2023"/>
    <d v="2023-01-21T00:00:00"/>
    <s v="CUST742"/>
    <x v="1"/>
    <x v="21"/>
    <x v="0"/>
    <x v="2"/>
    <n v="4"/>
    <n v="500"/>
    <n v="2000"/>
    <n v="30"/>
  </r>
  <r>
    <n v="743"/>
    <n v="16"/>
    <n v="1"/>
    <n v="2023"/>
    <d v="2023-01-16T00:00:00"/>
    <s v="CUST743"/>
    <x v="1"/>
    <x v="0"/>
    <x v="0"/>
    <x v="0"/>
    <n v="4"/>
    <n v="500"/>
    <n v="2000"/>
    <n v="30"/>
  </r>
  <r>
    <n v="744"/>
    <n v="7"/>
    <n v="5"/>
    <n v="2023"/>
    <d v="2023-05-07T00:00:00"/>
    <s v="CUST744"/>
    <x v="0"/>
    <x v="30"/>
    <x v="0"/>
    <x v="2"/>
    <n v="1"/>
    <n v="25"/>
    <n v="25"/>
    <n v="0.375"/>
  </r>
  <r>
    <n v="745"/>
    <n v="13"/>
    <n v="4"/>
    <n v="2023"/>
    <d v="2023-04-13T00:00:00"/>
    <s v="CUST745"/>
    <x v="0"/>
    <x v="31"/>
    <x v="2"/>
    <x v="0"/>
    <n v="2"/>
    <n v="50"/>
    <n v="100"/>
    <n v="1.5"/>
  </r>
  <r>
    <n v="746"/>
    <n v="11"/>
    <n v="1"/>
    <n v="2023"/>
    <d v="2023-01-11T00:00:00"/>
    <s v="CUST746"/>
    <x v="1"/>
    <x v="44"/>
    <x v="0"/>
    <x v="1"/>
    <n v="3"/>
    <n v="30"/>
    <n v="90"/>
    <n v="1.3499999999999999"/>
  </r>
  <r>
    <n v="747"/>
    <n v="15"/>
    <n v="11"/>
    <n v="2023"/>
    <d v="2023-11-15T00:00:00"/>
    <s v="CUST747"/>
    <x v="0"/>
    <x v="9"/>
    <x v="1"/>
    <x v="0"/>
    <n v="1"/>
    <n v="30"/>
    <n v="30"/>
    <n v="0.44999999999999996"/>
  </r>
  <r>
    <n v="748"/>
    <n v="20"/>
    <n v="3"/>
    <n v="2023"/>
    <d v="2023-03-20T00:00:00"/>
    <s v="CUST748"/>
    <x v="0"/>
    <x v="36"/>
    <x v="1"/>
    <x v="1"/>
    <n v="3"/>
    <n v="50"/>
    <n v="150"/>
    <n v="2.25"/>
  </r>
  <r>
    <n v="749"/>
    <n v="3"/>
    <n v="5"/>
    <n v="2023"/>
    <d v="2023-05-03T00:00:00"/>
    <s v="CUST749"/>
    <x v="0"/>
    <x v="13"/>
    <x v="0"/>
    <x v="0"/>
    <n v="1"/>
    <n v="30"/>
    <n v="30"/>
    <n v="0.44999999999999996"/>
  </r>
  <r>
    <n v="750"/>
    <n v="6"/>
    <n v="3"/>
    <n v="2023"/>
    <d v="2023-03-06T00:00:00"/>
    <s v="CUST750"/>
    <x v="1"/>
    <x v="10"/>
    <x v="0"/>
    <x v="1"/>
    <n v="3"/>
    <n v="25"/>
    <n v="75"/>
    <n v="1.125"/>
  </r>
  <r>
    <n v="751"/>
    <n v="31"/>
    <n v="8"/>
    <n v="2023"/>
    <d v="2023-08-31T00:00:00"/>
    <s v="CUST751"/>
    <x v="1"/>
    <x v="13"/>
    <x v="0"/>
    <x v="1"/>
    <n v="2"/>
    <n v="25"/>
    <n v="50"/>
    <n v="0.75"/>
  </r>
  <r>
    <n v="752"/>
    <n v="9"/>
    <n v="12"/>
    <n v="2023"/>
    <d v="2023-12-09T00:00:00"/>
    <s v="CUST752"/>
    <x v="0"/>
    <x v="38"/>
    <x v="1"/>
    <x v="1"/>
    <n v="2"/>
    <n v="50"/>
    <n v="100"/>
    <n v="1.5"/>
  </r>
  <r>
    <n v="753"/>
    <n v="28"/>
    <n v="2"/>
    <n v="2023"/>
    <d v="2023-02-28T00:00:00"/>
    <s v="CUST753"/>
    <x v="1"/>
    <x v="40"/>
    <x v="0"/>
    <x v="1"/>
    <n v="1"/>
    <n v="30"/>
    <n v="30"/>
    <n v="0.44999999999999996"/>
  </r>
  <r>
    <n v="754"/>
    <n v="16"/>
    <n v="10"/>
    <n v="2023"/>
    <d v="2023-10-16T00:00:00"/>
    <s v="CUST754"/>
    <x v="1"/>
    <x v="22"/>
    <x v="0"/>
    <x v="2"/>
    <n v="4"/>
    <n v="25"/>
    <n v="100"/>
    <n v="1.5"/>
  </r>
  <r>
    <n v="755"/>
    <n v="22"/>
    <n v="4"/>
    <n v="2023"/>
    <d v="2023-04-22T00:00:00"/>
    <s v="CUST755"/>
    <x v="1"/>
    <x v="26"/>
    <x v="2"/>
    <x v="1"/>
    <n v="3"/>
    <n v="25"/>
    <n v="75"/>
    <n v="1.125"/>
  </r>
  <r>
    <n v="756"/>
    <n v="27"/>
    <n v="8"/>
    <n v="2023"/>
    <d v="2023-08-27T00:00:00"/>
    <s v="CUST756"/>
    <x v="1"/>
    <x v="17"/>
    <x v="2"/>
    <x v="2"/>
    <n v="4"/>
    <n v="300"/>
    <n v="1200"/>
    <n v="18"/>
  </r>
  <r>
    <n v="757"/>
    <n v="25"/>
    <n v="12"/>
    <n v="2023"/>
    <d v="2023-12-25T00:00:00"/>
    <s v="CUST757"/>
    <x v="1"/>
    <x v="22"/>
    <x v="0"/>
    <x v="2"/>
    <n v="4"/>
    <n v="300"/>
    <n v="1200"/>
    <n v="18"/>
  </r>
  <r>
    <n v="758"/>
    <n v="12"/>
    <n v="5"/>
    <n v="2023"/>
    <d v="2023-05-12T00:00:00"/>
    <s v="CUST758"/>
    <x v="0"/>
    <x v="12"/>
    <x v="2"/>
    <x v="1"/>
    <n v="4"/>
    <n v="25"/>
    <n v="100"/>
    <n v="1.5"/>
  </r>
  <r>
    <n v="759"/>
    <n v="8"/>
    <n v="7"/>
    <n v="2023"/>
    <d v="2023-07-08T00:00:00"/>
    <s v="CUST759"/>
    <x v="0"/>
    <x v="19"/>
    <x v="0"/>
    <x v="2"/>
    <n v="2"/>
    <n v="50"/>
    <n v="100"/>
    <n v="1.5"/>
  </r>
  <r>
    <n v="760"/>
    <n v="27"/>
    <n v="3"/>
    <n v="2023"/>
    <d v="2023-03-27T00:00:00"/>
    <s v="CUST760"/>
    <x v="0"/>
    <x v="15"/>
    <x v="1"/>
    <x v="0"/>
    <n v="1"/>
    <n v="500"/>
    <n v="500"/>
    <n v="7.5"/>
  </r>
  <r>
    <n v="761"/>
    <n v="7"/>
    <n v="11"/>
    <n v="2023"/>
    <d v="2023-11-07T00:00:00"/>
    <s v="CUST761"/>
    <x v="1"/>
    <x v="44"/>
    <x v="0"/>
    <x v="1"/>
    <n v="1"/>
    <n v="500"/>
    <n v="500"/>
    <n v="7.5"/>
  </r>
  <r>
    <n v="762"/>
    <n v="7"/>
    <n v="11"/>
    <n v="2023"/>
    <d v="2023-11-07T00:00:00"/>
    <s v="CUST762"/>
    <x v="1"/>
    <x v="46"/>
    <x v="1"/>
    <x v="2"/>
    <n v="2"/>
    <n v="25"/>
    <n v="50"/>
    <n v="0.75"/>
  </r>
  <r>
    <n v="763"/>
    <n v="28"/>
    <n v="2"/>
    <n v="2023"/>
    <d v="2023-02-28T00:00:00"/>
    <s v="CUST763"/>
    <x v="0"/>
    <x v="0"/>
    <x v="0"/>
    <x v="1"/>
    <n v="2"/>
    <n v="25"/>
    <n v="50"/>
    <n v="0.75"/>
  </r>
  <r>
    <n v="764"/>
    <n v="25"/>
    <n v="3"/>
    <n v="2023"/>
    <d v="2023-03-25T00:00:00"/>
    <s v="CUST764"/>
    <x v="1"/>
    <x v="30"/>
    <x v="0"/>
    <x v="1"/>
    <n v="1"/>
    <n v="25"/>
    <n v="25"/>
    <n v="0.375"/>
  </r>
  <r>
    <n v="765"/>
    <n v="9"/>
    <n v="6"/>
    <n v="2023"/>
    <d v="2023-06-09T00:00:00"/>
    <s v="CUST765"/>
    <x v="0"/>
    <x v="22"/>
    <x v="0"/>
    <x v="1"/>
    <n v="4"/>
    <n v="50"/>
    <n v="200"/>
    <n v="3"/>
  </r>
  <r>
    <n v="766"/>
    <n v="25"/>
    <n v="2"/>
    <n v="2023"/>
    <d v="2023-02-25T00:00:00"/>
    <s v="CUST766"/>
    <x v="0"/>
    <x v="21"/>
    <x v="0"/>
    <x v="2"/>
    <n v="3"/>
    <n v="300"/>
    <n v="900"/>
    <n v="13.5"/>
  </r>
  <r>
    <n v="767"/>
    <n v="24"/>
    <n v="10"/>
    <n v="2023"/>
    <d v="2023-10-24T00:00:00"/>
    <s v="CUST767"/>
    <x v="0"/>
    <x v="23"/>
    <x v="0"/>
    <x v="0"/>
    <n v="3"/>
    <n v="25"/>
    <n v="75"/>
    <n v="1.125"/>
  </r>
  <r>
    <n v="768"/>
    <n v="14"/>
    <n v="1"/>
    <n v="2023"/>
    <d v="2023-01-14T00:00:00"/>
    <s v="CUST768"/>
    <x v="1"/>
    <x v="46"/>
    <x v="1"/>
    <x v="0"/>
    <n v="3"/>
    <n v="25"/>
    <n v="75"/>
    <n v="1.125"/>
  </r>
  <r>
    <n v="769"/>
    <n v="9"/>
    <n v="6"/>
    <n v="2023"/>
    <d v="2023-06-09T00:00:00"/>
    <s v="CUST769"/>
    <x v="1"/>
    <x v="33"/>
    <x v="0"/>
    <x v="2"/>
    <n v="4"/>
    <n v="30"/>
    <n v="120"/>
    <n v="1.7999999999999998"/>
  </r>
  <r>
    <n v="770"/>
    <n v="22"/>
    <n v="10"/>
    <n v="2023"/>
    <d v="2023-10-22T00:00:00"/>
    <s v="CUST770"/>
    <x v="0"/>
    <x v="40"/>
    <x v="0"/>
    <x v="1"/>
    <n v="1"/>
    <n v="50"/>
    <n v="50"/>
    <n v="0.75"/>
  </r>
  <r>
    <n v="771"/>
    <n v="13"/>
    <n v="12"/>
    <n v="2023"/>
    <d v="2023-12-13T00:00:00"/>
    <s v="CUST771"/>
    <x v="0"/>
    <x v="46"/>
    <x v="1"/>
    <x v="2"/>
    <n v="2"/>
    <n v="25"/>
    <n v="50"/>
    <n v="0.75"/>
  </r>
  <r>
    <n v="772"/>
    <n v="12"/>
    <n v="7"/>
    <n v="2023"/>
    <d v="2023-07-12T00:00:00"/>
    <s v="CUST772"/>
    <x v="0"/>
    <x v="1"/>
    <x v="1"/>
    <x v="2"/>
    <n v="1"/>
    <n v="30"/>
    <n v="30"/>
    <n v="0.44999999999999996"/>
  </r>
  <r>
    <n v="773"/>
    <n v="23"/>
    <n v="7"/>
    <n v="2023"/>
    <d v="2023-07-23T00:00:00"/>
    <s v="CUST773"/>
    <x v="0"/>
    <x v="36"/>
    <x v="1"/>
    <x v="2"/>
    <n v="4"/>
    <n v="500"/>
    <n v="2000"/>
    <n v="30"/>
  </r>
  <r>
    <n v="774"/>
    <n v="12"/>
    <n v="4"/>
    <n v="2023"/>
    <d v="2023-04-12T00:00:00"/>
    <s v="CUST774"/>
    <x v="1"/>
    <x v="30"/>
    <x v="0"/>
    <x v="1"/>
    <n v="2"/>
    <n v="25"/>
    <n v="50"/>
    <n v="0.75"/>
  </r>
  <r>
    <n v="775"/>
    <n v="8"/>
    <n v="2"/>
    <n v="2023"/>
    <d v="2023-02-08T00:00:00"/>
    <s v="CUST775"/>
    <x v="1"/>
    <x v="6"/>
    <x v="0"/>
    <x v="2"/>
    <n v="4"/>
    <n v="25"/>
    <n v="100"/>
    <n v="1.5"/>
  </r>
  <r>
    <n v="776"/>
    <n v="31"/>
    <n v="10"/>
    <n v="2023"/>
    <d v="2023-10-31T00:00:00"/>
    <s v="CUST776"/>
    <x v="0"/>
    <x v="10"/>
    <x v="0"/>
    <x v="1"/>
    <n v="3"/>
    <n v="30"/>
    <n v="90"/>
    <n v="1.3499999999999999"/>
  </r>
  <r>
    <n v="777"/>
    <n v="20"/>
    <n v="12"/>
    <n v="2023"/>
    <d v="2023-12-20T00:00:00"/>
    <s v="CUST777"/>
    <x v="0"/>
    <x v="27"/>
    <x v="0"/>
    <x v="2"/>
    <n v="3"/>
    <n v="50"/>
    <n v="150"/>
    <n v="2.25"/>
  </r>
  <r>
    <n v="778"/>
    <n v="18"/>
    <n v="11"/>
    <n v="2023"/>
    <d v="2023-11-18T00:00:00"/>
    <s v="CUST778"/>
    <x v="1"/>
    <x v="16"/>
    <x v="0"/>
    <x v="0"/>
    <n v="4"/>
    <n v="25"/>
    <n v="100"/>
    <n v="1.5"/>
  </r>
  <r>
    <n v="779"/>
    <n v="5"/>
    <n v="5"/>
    <n v="2023"/>
    <d v="2023-05-05T00:00:00"/>
    <s v="CUST779"/>
    <x v="1"/>
    <x v="37"/>
    <x v="2"/>
    <x v="2"/>
    <n v="2"/>
    <n v="500"/>
    <n v="1000"/>
    <n v="15"/>
  </r>
  <r>
    <n v="780"/>
    <n v="22"/>
    <n v="2"/>
    <n v="2023"/>
    <d v="2023-02-22T00:00:00"/>
    <s v="CUST780"/>
    <x v="0"/>
    <x v="8"/>
    <x v="2"/>
    <x v="2"/>
    <n v="2"/>
    <n v="25"/>
    <n v="50"/>
    <n v="0.75"/>
  </r>
  <r>
    <n v="781"/>
    <n v="23"/>
    <n v="12"/>
    <n v="2023"/>
    <d v="2023-12-23T00:00:00"/>
    <s v="CUST781"/>
    <x v="0"/>
    <x v="10"/>
    <x v="0"/>
    <x v="0"/>
    <n v="1"/>
    <n v="500"/>
    <n v="500"/>
    <n v="7.5"/>
  </r>
  <r>
    <n v="782"/>
    <n v="4"/>
    <n v="6"/>
    <n v="2023"/>
    <d v="2023-06-04T00:00:00"/>
    <s v="CUST782"/>
    <x v="0"/>
    <x v="42"/>
    <x v="2"/>
    <x v="1"/>
    <n v="3"/>
    <n v="300"/>
    <n v="900"/>
    <n v="13.5"/>
  </r>
  <r>
    <n v="783"/>
    <n v="17"/>
    <n v="12"/>
    <n v="2023"/>
    <d v="2023-12-17T00:00:00"/>
    <s v="CUST783"/>
    <x v="1"/>
    <x v="37"/>
    <x v="2"/>
    <x v="1"/>
    <n v="1"/>
    <n v="300"/>
    <n v="300"/>
    <n v="4.5"/>
  </r>
  <r>
    <n v="784"/>
    <n v="4"/>
    <n v="11"/>
    <n v="2023"/>
    <d v="2023-11-04T00:00:00"/>
    <s v="CUST784"/>
    <x v="1"/>
    <x v="0"/>
    <x v="0"/>
    <x v="2"/>
    <n v="1"/>
    <n v="500"/>
    <n v="500"/>
    <n v="7.5"/>
  </r>
  <r>
    <n v="785"/>
    <n v="3"/>
    <n v="3"/>
    <n v="2023"/>
    <d v="2023-03-03T00:00:00"/>
    <s v="CUST785"/>
    <x v="1"/>
    <x v="33"/>
    <x v="0"/>
    <x v="0"/>
    <n v="4"/>
    <n v="50"/>
    <n v="200"/>
    <n v="3"/>
  </r>
  <r>
    <n v="786"/>
    <n v="17"/>
    <n v="10"/>
    <n v="2023"/>
    <d v="2023-10-17T00:00:00"/>
    <s v="CUST786"/>
    <x v="0"/>
    <x v="27"/>
    <x v="0"/>
    <x v="1"/>
    <n v="4"/>
    <n v="25"/>
    <n v="100"/>
    <n v="1.5"/>
  </r>
  <r>
    <n v="787"/>
    <n v="22"/>
    <n v="1"/>
    <n v="2023"/>
    <d v="2023-01-22T00:00:00"/>
    <s v="CUST787"/>
    <x v="0"/>
    <x v="41"/>
    <x v="0"/>
    <x v="2"/>
    <n v="1"/>
    <n v="25"/>
    <n v="25"/>
    <n v="0.375"/>
  </r>
  <r>
    <n v="788"/>
    <n v="27"/>
    <n v="6"/>
    <n v="2023"/>
    <d v="2023-06-27T00:00:00"/>
    <s v="CUST788"/>
    <x v="1"/>
    <x v="8"/>
    <x v="2"/>
    <x v="0"/>
    <n v="3"/>
    <n v="300"/>
    <n v="900"/>
    <n v="13.5"/>
  </r>
  <r>
    <n v="789"/>
    <n v="30"/>
    <n v="9"/>
    <n v="2023"/>
    <d v="2023-09-30T00:00:00"/>
    <s v="CUST789"/>
    <x v="1"/>
    <x v="39"/>
    <x v="2"/>
    <x v="1"/>
    <n v="4"/>
    <n v="500"/>
    <n v="2000"/>
    <n v="30"/>
  </r>
  <r>
    <n v="790"/>
    <n v="8"/>
    <n v="8"/>
    <n v="2023"/>
    <d v="2023-08-08T00:00:00"/>
    <s v="CUST790"/>
    <x v="0"/>
    <x v="17"/>
    <x v="2"/>
    <x v="1"/>
    <n v="1"/>
    <n v="25"/>
    <n v="25"/>
    <n v="0.375"/>
  </r>
  <r>
    <n v="791"/>
    <n v="5"/>
    <n v="12"/>
    <n v="2023"/>
    <d v="2023-12-05T00:00:00"/>
    <s v="CUST791"/>
    <x v="1"/>
    <x v="25"/>
    <x v="2"/>
    <x v="0"/>
    <n v="1"/>
    <n v="25"/>
    <n v="25"/>
    <n v="0.375"/>
  </r>
  <r>
    <n v="792"/>
    <n v="9"/>
    <n v="7"/>
    <n v="2023"/>
    <d v="2023-07-09T00:00:00"/>
    <s v="CUST792"/>
    <x v="1"/>
    <x v="29"/>
    <x v="1"/>
    <x v="0"/>
    <n v="1"/>
    <n v="50"/>
    <n v="50"/>
    <n v="0.75"/>
  </r>
  <r>
    <n v="793"/>
    <n v="5"/>
    <n v="2"/>
    <n v="2023"/>
    <d v="2023-02-05T00:00:00"/>
    <s v="CUST793"/>
    <x v="0"/>
    <x v="31"/>
    <x v="2"/>
    <x v="0"/>
    <n v="1"/>
    <n v="30"/>
    <n v="30"/>
    <n v="0.44999999999999996"/>
  </r>
  <r>
    <n v="794"/>
    <n v="17"/>
    <n v="9"/>
    <n v="2023"/>
    <d v="2023-09-17T00:00:00"/>
    <s v="CUST794"/>
    <x v="1"/>
    <x v="43"/>
    <x v="2"/>
    <x v="0"/>
    <n v="1"/>
    <n v="300"/>
    <n v="300"/>
    <n v="4.5"/>
  </r>
  <r>
    <n v="795"/>
    <n v="28"/>
    <n v="11"/>
    <n v="2023"/>
    <d v="2023-11-28T00:00:00"/>
    <s v="CUST795"/>
    <x v="0"/>
    <x v="35"/>
    <x v="2"/>
    <x v="2"/>
    <n v="1"/>
    <n v="300"/>
    <n v="300"/>
    <n v="4.5"/>
  </r>
  <r>
    <n v="796"/>
    <n v="24"/>
    <n v="6"/>
    <n v="2023"/>
    <d v="2023-06-24T00:00:00"/>
    <s v="CUST796"/>
    <x v="0"/>
    <x v="22"/>
    <x v="0"/>
    <x v="0"/>
    <n v="4"/>
    <n v="30"/>
    <n v="120"/>
    <n v="1.7999999999999998"/>
  </r>
  <r>
    <n v="797"/>
    <n v="7"/>
    <n v="1"/>
    <n v="2023"/>
    <d v="2023-01-07T00:00:00"/>
    <s v="CUST797"/>
    <x v="0"/>
    <x v="30"/>
    <x v="0"/>
    <x v="1"/>
    <n v="3"/>
    <n v="25"/>
    <n v="75"/>
    <n v="1.125"/>
  </r>
  <r>
    <n v="798"/>
    <n v="4"/>
    <n v="8"/>
    <n v="2023"/>
    <d v="2023-08-04T00:00:00"/>
    <s v="CUST798"/>
    <x v="0"/>
    <x v="39"/>
    <x v="2"/>
    <x v="1"/>
    <n v="1"/>
    <n v="50"/>
    <n v="50"/>
    <n v="0.75"/>
  </r>
  <r>
    <n v="799"/>
    <n v="8"/>
    <n v="9"/>
    <n v="2023"/>
    <d v="2023-09-08T00:00:00"/>
    <s v="CUST799"/>
    <x v="0"/>
    <x v="37"/>
    <x v="2"/>
    <x v="2"/>
    <n v="2"/>
    <n v="50"/>
    <n v="100"/>
    <n v="1.5"/>
  </r>
  <r>
    <n v="800"/>
    <n v="24"/>
    <n v="2"/>
    <n v="2023"/>
    <d v="2023-02-24T00:00:00"/>
    <s v="CUST800"/>
    <x v="0"/>
    <x v="40"/>
    <x v="0"/>
    <x v="1"/>
    <n v="4"/>
    <n v="300"/>
    <n v="1200"/>
    <n v="18"/>
  </r>
  <r>
    <n v="801"/>
    <n v="10"/>
    <n v="8"/>
    <n v="2023"/>
    <d v="2023-08-10T00:00:00"/>
    <s v="CUST801"/>
    <x v="0"/>
    <x v="34"/>
    <x v="1"/>
    <x v="1"/>
    <n v="4"/>
    <n v="50"/>
    <n v="200"/>
    <n v="3"/>
  </r>
  <r>
    <n v="802"/>
    <n v="5"/>
    <n v="7"/>
    <n v="2023"/>
    <d v="2023-07-05T00:00:00"/>
    <s v="CUST802"/>
    <x v="1"/>
    <x v="6"/>
    <x v="0"/>
    <x v="0"/>
    <n v="1"/>
    <n v="30"/>
    <n v="30"/>
    <n v="0.44999999999999996"/>
  </r>
  <r>
    <n v="803"/>
    <n v="22"/>
    <n v="11"/>
    <n v="2023"/>
    <d v="2023-11-22T00:00:00"/>
    <s v="CUST803"/>
    <x v="0"/>
    <x v="23"/>
    <x v="0"/>
    <x v="1"/>
    <n v="4"/>
    <n v="25"/>
    <n v="100"/>
    <n v="1.5"/>
  </r>
  <r>
    <n v="804"/>
    <n v="24"/>
    <n v="8"/>
    <n v="2023"/>
    <d v="2023-08-24T00:00:00"/>
    <s v="CUST804"/>
    <x v="0"/>
    <x v="13"/>
    <x v="0"/>
    <x v="2"/>
    <n v="1"/>
    <n v="30"/>
    <n v="30"/>
    <n v="0.44999999999999996"/>
  </r>
  <r>
    <n v="805"/>
    <n v="29"/>
    <n v="12"/>
    <n v="2023"/>
    <d v="2023-12-29T00:00:00"/>
    <s v="CUST805"/>
    <x v="1"/>
    <x v="4"/>
    <x v="0"/>
    <x v="0"/>
    <n v="3"/>
    <n v="500"/>
    <n v="1500"/>
    <n v="22.5"/>
  </r>
  <r>
    <n v="806"/>
    <n v="20"/>
    <n v="3"/>
    <n v="2023"/>
    <d v="2023-03-20T00:00:00"/>
    <s v="CUST806"/>
    <x v="1"/>
    <x v="10"/>
    <x v="0"/>
    <x v="0"/>
    <n v="3"/>
    <n v="300"/>
    <n v="900"/>
    <n v="13.5"/>
  </r>
  <r>
    <n v="807"/>
    <n v="11"/>
    <n v="8"/>
    <n v="2023"/>
    <d v="2023-08-11T00:00:00"/>
    <s v="CUST807"/>
    <x v="1"/>
    <x v="2"/>
    <x v="2"/>
    <x v="2"/>
    <n v="4"/>
    <n v="50"/>
    <n v="200"/>
    <n v="3"/>
  </r>
  <r>
    <n v="808"/>
    <n v="1"/>
    <n v="4"/>
    <n v="2023"/>
    <d v="2023-04-01T00:00:00"/>
    <s v="CUST808"/>
    <x v="0"/>
    <x v="44"/>
    <x v="0"/>
    <x v="0"/>
    <n v="4"/>
    <n v="500"/>
    <n v="2000"/>
    <n v="30"/>
  </r>
  <r>
    <n v="809"/>
    <n v="25"/>
    <n v="9"/>
    <n v="2023"/>
    <d v="2023-09-25T00:00:00"/>
    <s v="CUST809"/>
    <x v="1"/>
    <x v="17"/>
    <x v="2"/>
    <x v="0"/>
    <n v="2"/>
    <n v="50"/>
    <n v="100"/>
    <n v="1.5"/>
  </r>
  <r>
    <n v="810"/>
    <n v="30"/>
    <n v="11"/>
    <n v="2023"/>
    <d v="2023-11-30T00:00:00"/>
    <s v="CUST810"/>
    <x v="0"/>
    <x v="42"/>
    <x v="2"/>
    <x v="2"/>
    <n v="4"/>
    <n v="25"/>
    <n v="100"/>
    <n v="1.5"/>
  </r>
  <r>
    <n v="811"/>
    <n v="19"/>
    <n v="5"/>
    <n v="2023"/>
    <d v="2023-05-19T00:00:00"/>
    <s v="CUST811"/>
    <x v="0"/>
    <x v="39"/>
    <x v="2"/>
    <x v="0"/>
    <n v="2"/>
    <n v="25"/>
    <n v="50"/>
    <n v="0.75"/>
  </r>
  <r>
    <n v="812"/>
    <n v="12"/>
    <n v="11"/>
    <n v="2023"/>
    <d v="2023-11-12T00:00:00"/>
    <s v="CUST812"/>
    <x v="0"/>
    <x v="14"/>
    <x v="1"/>
    <x v="2"/>
    <n v="3"/>
    <n v="25"/>
    <n v="75"/>
    <n v="1.125"/>
  </r>
  <r>
    <n v="813"/>
    <n v="3"/>
    <n v="10"/>
    <n v="2023"/>
    <d v="2023-10-03T00:00:00"/>
    <s v="CUST813"/>
    <x v="0"/>
    <x v="8"/>
    <x v="2"/>
    <x v="2"/>
    <n v="3"/>
    <n v="50"/>
    <n v="150"/>
    <n v="2.25"/>
  </r>
  <r>
    <n v="814"/>
    <n v="5"/>
    <n v="9"/>
    <n v="2023"/>
    <d v="2023-09-05T00:00:00"/>
    <s v="CUST814"/>
    <x v="1"/>
    <x v="42"/>
    <x v="2"/>
    <x v="1"/>
    <n v="1"/>
    <n v="500"/>
    <n v="500"/>
    <n v="7.5"/>
  </r>
  <r>
    <n v="815"/>
    <n v="27"/>
    <n v="8"/>
    <n v="2023"/>
    <d v="2023-08-27T00:00:00"/>
    <s v="CUST815"/>
    <x v="1"/>
    <x v="25"/>
    <x v="2"/>
    <x v="1"/>
    <n v="3"/>
    <n v="25"/>
    <n v="75"/>
    <n v="1.125"/>
  </r>
  <r>
    <n v="816"/>
    <n v="12"/>
    <n v="8"/>
    <n v="2023"/>
    <d v="2023-08-12T00:00:00"/>
    <s v="CUST816"/>
    <x v="0"/>
    <x v="16"/>
    <x v="0"/>
    <x v="0"/>
    <n v="2"/>
    <n v="500"/>
    <n v="1000"/>
    <n v="15"/>
  </r>
  <r>
    <n v="817"/>
    <n v="31"/>
    <n v="10"/>
    <n v="2023"/>
    <d v="2023-10-31T00:00:00"/>
    <s v="CUST817"/>
    <x v="0"/>
    <x v="4"/>
    <x v="0"/>
    <x v="0"/>
    <n v="4"/>
    <n v="50"/>
    <n v="200"/>
    <n v="3"/>
  </r>
  <r>
    <n v="818"/>
    <n v="18"/>
    <n v="5"/>
    <n v="2023"/>
    <d v="2023-05-18T00:00:00"/>
    <s v="CUST818"/>
    <x v="0"/>
    <x v="4"/>
    <x v="0"/>
    <x v="2"/>
    <n v="1"/>
    <n v="500"/>
    <n v="500"/>
    <n v="7.5"/>
  </r>
  <r>
    <n v="819"/>
    <n v="15"/>
    <n v="6"/>
    <n v="2023"/>
    <d v="2023-06-15T00:00:00"/>
    <s v="CUST819"/>
    <x v="1"/>
    <x v="10"/>
    <x v="0"/>
    <x v="0"/>
    <n v="2"/>
    <n v="50"/>
    <n v="100"/>
    <n v="1.5"/>
  </r>
  <r>
    <n v="820"/>
    <n v="6"/>
    <n v="5"/>
    <n v="2023"/>
    <d v="2023-05-06T00:00:00"/>
    <s v="CUST820"/>
    <x v="0"/>
    <x v="19"/>
    <x v="0"/>
    <x v="2"/>
    <n v="4"/>
    <n v="50"/>
    <n v="200"/>
    <n v="3"/>
  </r>
  <r>
    <n v="821"/>
    <n v="14"/>
    <n v="2"/>
    <n v="2023"/>
    <d v="2023-02-14T00:00:00"/>
    <s v="CUST821"/>
    <x v="0"/>
    <x v="19"/>
    <x v="0"/>
    <x v="2"/>
    <n v="1"/>
    <n v="300"/>
    <n v="300"/>
    <n v="4.5"/>
  </r>
  <r>
    <n v="822"/>
    <n v="23"/>
    <n v="5"/>
    <n v="2023"/>
    <d v="2023-05-23T00:00:00"/>
    <s v="CUST822"/>
    <x v="1"/>
    <x v="8"/>
    <x v="2"/>
    <x v="0"/>
    <n v="3"/>
    <n v="50"/>
    <n v="150"/>
    <n v="2.25"/>
  </r>
  <r>
    <n v="823"/>
    <n v="19"/>
    <n v="8"/>
    <n v="2023"/>
    <d v="2023-08-19T00:00:00"/>
    <s v="CUST823"/>
    <x v="1"/>
    <x v="37"/>
    <x v="2"/>
    <x v="2"/>
    <n v="2"/>
    <n v="50"/>
    <n v="100"/>
    <n v="1.5"/>
  </r>
  <r>
    <n v="824"/>
    <n v="5"/>
    <n v="5"/>
    <n v="2023"/>
    <d v="2023-05-05T00:00:00"/>
    <s v="CUST824"/>
    <x v="0"/>
    <x v="7"/>
    <x v="2"/>
    <x v="1"/>
    <n v="4"/>
    <n v="30"/>
    <n v="120"/>
    <n v="1.7999999999999998"/>
  </r>
  <r>
    <n v="825"/>
    <n v="26"/>
    <n v="8"/>
    <n v="2023"/>
    <d v="2023-08-26T00:00:00"/>
    <s v="CUST825"/>
    <x v="1"/>
    <x v="6"/>
    <x v="0"/>
    <x v="0"/>
    <n v="1"/>
    <n v="25"/>
    <n v="25"/>
    <n v="0.375"/>
  </r>
  <r>
    <n v="826"/>
    <n v="19"/>
    <n v="10"/>
    <n v="2023"/>
    <d v="2023-10-19T00:00:00"/>
    <s v="CUST826"/>
    <x v="1"/>
    <x v="6"/>
    <x v="0"/>
    <x v="1"/>
    <n v="1"/>
    <n v="300"/>
    <n v="300"/>
    <n v="4.5"/>
  </r>
  <r>
    <n v="827"/>
    <n v="9"/>
    <n v="11"/>
    <n v="2023"/>
    <d v="2023-11-09T00:00:00"/>
    <s v="CUST827"/>
    <x v="0"/>
    <x v="39"/>
    <x v="2"/>
    <x v="0"/>
    <n v="3"/>
    <n v="300"/>
    <n v="900"/>
    <n v="13.5"/>
  </r>
  <r>
    <n v="828"/>
    <n v="9"/>
    <n v="12"/>
    <n v="2023"/>
    <d v="2023-12-09T00:00:00"/>
    <s v="CUST828"/>
    <x v="1"/>
    <x v="44"/>
    <x v="0"/>
    <x v="2"/>
    <n v="4"/>
    <n v="300"/>
    <n v="1200"/>
    <n v="18"/>
  </r>
  <r>
    <n v="829"/>
    <n v="14"/>
    <n v="7"/>
    <n v="2023"/>
    <d v="2023-07-14T00:00:00"/>
    <s v="CUST829"/>
    <x v="0"/>
    <x v="39"/>
    <x v="2"/>
    <x v="0"/>
    <n v="3"/>
    <n v="30"/>
    <n v="90"/>
    <n v="1.3499999999999999"/>
  </r>
  <r>
    <n v="830"/>
    <n v="22"/>
    <n v="6"/>
    <n v="2023"/>
    <d v="2023-06-22T00:00:00"/>
    <s v="CUST830"/>
    <x v="1"/>
    <x v="12"/>
    <x v="2"/>
    <x v="1"/>
    <n v="3"/>
    <n v="50"/>
    <n v="150"/>
    <n v="2.25"/>
  </r>
  <r>
    <n v="831"/>
    <n v="15"/>
    <n v="1"/>
    <n v="2023"/>
    <d v="2023-01-15T00:00:00"/>
    <s v="CUST831"/>
    <x v="0"/>
    <x v="15"/>
    <x v="1"/>
    <x v="2"/>
    <n v="4"/>
    <n v="25"/>
    <n v="100"/>
    <n v="1.5"/>
  </r>
  <r>
    <n v="832"/>
    <n v="11"/>
    <n v="9"/>
    <n v="2023"/>
    <d v="2023-09-11T00:00:00"/>
    <s v="CUST832"/>
    <x v="0"/>
    <x v="16"/>
    <x v="0"/>
    <x v="0"/>
    <n v="4"/>
    <n v="500"/>
    <n v="2000"/>
    <n v="30"/>
  </r>
  <r>
    <n v="833"/>
    <n v="16"/>
    <n v="6"/>
    <n v="2023"/>
    <d v="2023-06-16T00:00:00"/>
    <s v="CUST833"/>
    <x v="0"/>
    <x v="13"/>
    <x v="0"/>
    <x v="0"/>
    <n v="4"/>
    <n v="50"/>
    <n v="200"/>
    <n v="3"/>
  </r>
  <r>
    <n v="834"/>
    <n v="4"/>
    <n v="4"/>
    <n v="2023"/>
    <d v="2023-04-04T00:00:00"/>
    <s v="CUST834"/>
    <x v="1"/>
    <x v="37"/>
    <x v="2"/>
    <x v="0"/>
    <n v="2"/>
    <n v="30"/>
    <n v="60"/>
    <n v="0.89999999999999991"/>
  </r>
  <r>
    <n v="835"/>
    <n v="7"/>
    <n v="9"/>
    <n v="2023"/>
    <d v="2023-09-07T00:00:00"/>
    <s v="CUST835"/>
    <x v="0"/>
    <x v="3"/>
    <x v="0"/>
    <x v="1"/>
    <n v="4"/>
    <n v="50"/>
    <n v="200"/>
    <n v="3"/>
  </r>
  <r>
    <n v="836"/>
    <n v="19"/>
    <n v="4"/>
    <n v="2023"/>
    <d v="2023-04-19T00:00:00"/>
    <s v="CUST836"/>
    <x v="1"/>
    <x v="11"/>
    <x v="1"/>
    <x v="1"/>
    <n v="1"/>
    <n v="50"/>
    <n v="50"/>
    <n v="0.75"/>
  </r>
  <r>
    <n v="837"/>
    <n v="1"/>
    <n v="7"/>
    <n v="2023"/>
    <d v="2023-07-01T00:00:00"/>
    <s v="CUST837"/>
    <x v="0"/>
    <x v="18"/>
    <x v="1"/>
    <x v="0"/>
    <n v="3"/>
    <n v="30"/>
    <n v="90"/>
    <n v="1.3499999999999999"/>
  </r>
  <r>
    <n v="838"/>
    <n v="13"/>
    <n v="5"/>
    <n v="2023"/>
    <d v="2023-05-13T00:00:00"/>
    <s v="CUST838"/>
    <x v="0"/>
    <x v="16"/>
    <x v="0"/>
    <x v="2"/>
    <n v="2"/>
    <n v="300"/>
    <n v="600"/>
    <n v="9"/>
  </r>
  <r>
    <n v="839"/>
    <n v="24"/>
    <n v="6"/>
    <n v="2023"/>
    <d v="2023-06-24T00:00:00"/>
    <s v="CUST839"/>
    <x v="1"/>
    <x v="29"/>
    <x v="1"/>
    <x v="2"/>
    <n v="4"/>
    <n v="300"/>
    <n v="1200"/>
    <n v="18"/>
  </r>
  <r>
    <n v="840"/>
    <n v="24"/>
    <n v="5"/>
    <n v="2023"/>
    <d v="2023-05-24T00:00:00"/>
    <s v="CUST840"/>
    <x v="0"/>
    <x v="17"/>
    <x v="2"/>
    <x v="1"/>
    <n v="2"/>
    <n v="25"/>
    <n v="50"/>
    <n v="0.75"/>
  </r>
  <r>
    <n v="841"/>
    <n v="2"/>
    <n v="11"/>
    <n v="2023"/>
    <d v="2023-11-02T00:00:00"/>
    <s v="CUST841"/>
    <x v="0"/>
    <x v="33"/>
    <x v="0"/>
    <x v="2"/>
    <n v="4"/>
    <n v="25"/>
    <n v="100"/>
    <n v="1.5"/>
  </r>
  <r>
    <n v="842"/>
    <n v="26"/>
    <n v="12"/>
    <n v="2023"/>
    <d v="2023-12-26T00:00:00"/>
    <s v="CUST842"/>
    <x v="1"/>
    <x v="16"/>
    <x v="0"/>
    <x v="1"/>
    <n v="2"/>
    <n v="300"/>
    <n v="600"/>
    <n v="9"/>
  </r>
  <r>
    <n v="843"/>
    <n v="22"/>
    <n v="5"/>
    <n v="2023"/>
    <d v="2023-05-22T00:00:00"/>
    <s v="CUST843"/>
    <x v="0"/>
    <x v="34"/>
    <x v="1"/>
    <x v="0"/>
    <n v="3"/>
    <n v="500"/>
    <n v="1500"/>
    <n v="22.5"/>
  </r>
  <r>
    <n v="844"/>
    <n v="12"/>
    <n v="10"/>
    <n v="2023"/>
    <d v="2023-10-12T00:00:00"/>
    <s v="CUST844"/>
    <x v="0"/>
    <x v="10"/>
    <x v="0"/>
    <x v="1"/>
    <n v="3"/>
    <n v="50"/>
    <n v="150"/>
    <n v="2.25"/>
  </r>
  <r>
    <n v="845"/>
    <n v="6"/>
    <n v="1"/>
    <n v="2023"/>
    <d v="2023-01-06T00:00:00"/>
    <s v="CUST845"/>
    <x v="0"/>
    <x v="31"/>
    <x v="2"/>
    <x v="1"/>
    <n v="1"/>
    <n v="500"/>
    <n v="500"/>
    <n v="7.5"/>
  </r>
  <r>
    <n v="846"/>
    <n v="22"/>
    <n v="9"/>
    <n v="2023"/>
    <d v="2023-09-22T00:00:00"/>
    <s v="CUST846"/>
    <x v="0"/>
    <x v="13"/>
    <x v="0"/>
    <x v="0"/>
    <n v="1"/>
    <n v="50"/>
    <n v="50"/>
    <n v="0.75"/>
  </r>
  <r>
    <n v="847"/>
    <n v="8"/>
    <n v="4"/>
    <n v="2023"/>
    <d v="2023-04-08T00:00:00"/>
    <s v="CUST847"/>
    <x v="1"/>
    <x v="18"/>
    <x v="1"/>
    <x v="2"/>
    <n v="4"/>
    <n v="300"/>
    <n v="1200"/>
    <n v="18"/>
  </r>
  <r>
    <n v="848"/>
    <n v="13"/>
    <n v="2"/>
    <n v="2023"/>
    <d v="2023-02-13T00:00:00"/>
    <s v="CUST848"/>
    <x v="1"/>
    <x v="7"/>
    <x v="2"/>
    <x v="1"/>
    <n v="3"/>
    <n v="25"/>
    <n v="75"/>
    <n v="1.125"/>
  </r>
  <r>
    <n v="849"/>
    <n v="4"/>
    <n v="5"/>
    <n v="2023"/>
    <d v="2023-05-04T00:00:00"/>
    <s v="CUST849"/>
    <x v="0"/>
    <x v="40"/>
    <x v="0"/>
    <x v="1"/>
    <n v="2"/>
    <n v="25"/>
    <n v="50"/>
    <n v="0.75"/>
  </r>
  <r>
    <n v="850"/>
    <n v="28"/>
    <n v="7"/>
    <n v="2023"/>
    <d v="2023-07-28T00:00:00"/>
    <s v="CUST850"/>
    <x v="1"/>
    <x v="1"/>
    <x v="1"/>
    <x v="0"/>
    <n v="2"/>
    <n v="500"/>
    <n v="1000"/>
    <n v="15"/>
  </r>
  <r>
    <n v="851"/>
    <n v="8"/>
    <n v="9"/>
    <n v="2023"/>
    <d v="2023-09-08T00:00:00"/>
    <s v="CUST851"/>
    <x v="0"/>
    <x v="40"/>
    <x v="0"/>
    <x v="2"/>
    <n v="2"/>
    <n v="25"/>
    <n v="50"/>
    <n v="0.75"/>
  </r>
  <r>
    <n v="852"/>
    <n v="12"/>
    <n v="10"/>
    <n v="2023"/>
    <d v="2023-10-12T00:00:00"/>
    <s v="CUST852"/>
    <x v="1"/>
    <x v="41"/>
    <x v="0"/>
    <x v="1"/>
    <n v="1"/>
    <n v="300"/>
    <n v="300"/>
    <n v="4.5"/>
  </r>
  <r>
    <n v="853"/>
    <n v="4"/>
    <n v="5"/>
    <n v="2023"/>
    <d v="2023-05-04T00:00:00"/>
    <s v="CUST853"/>
    <x v="0"/>
    <x v="34"/>
    <x v="1"/>
    <x v="0"/>
    <n v="2"/>
    <n v="500"/>
    <n v="1000"/>
    <n v="15"/>
  </r>
  <r>
    <n v="854"/>
    <n v="20"/>
    <n v="12"/>
    <n v="2023"/>
    <d v="2023-12-20T00:00:00"/>
    <s v="CUST854"/>
    <x v="0"/>
    <x v="38"/>
    <x v="1"/>
    <x v="1"/>
    <n v="1"/>
    <n v="50"/>
    <n v="50"/>
    <n v="0.75"/>
  </r>
  <r>
    <n v="855"/>
    <n v="1"/>
    <n v="9"/>
    <n v="2023"/>
    <d v="2023-09-01T00:00:00"/>
    <s v="CUST855"/>
    <x v="0"/>
    <x v="31"/>
    <x v="2"/>
    <x v="0"/>
    <n v="1"/>
    <n v="25"/>
    <n v="25"/>
    <n v="0.375"/>
  </r>
  <r>
    <n v="856"/>
    <n v="27"/>
    <n v="11"/>
    <n v="2023"/>
    <d v="2023-11-27T00:00:00"/>
    <s v="CUST856"/>
    <x v="0"/>
    <x v="31"/>
    <x v="2"/>
    <x v="2"/>
    <n v="4"/>
    <n v="30"/>
    <n v="120"/>
    <n v="1.7999999999999998"/>
  </r>
  <r>
    <n v="857"/>
    <n v="31"/>
    <n v="12"/>
    <n v="2023"/>
    <d v="2023-12-31T00:00:00"/>
    <s v="CUST857"/>
    <x v="0"/>
    <x v="43"/>
    <x v="2"/>
    <x v="2"/>
    <n v="2"/>
    <n v="25"/>
    <n v="50"/>
    <n v="0.75"/>
  </r>
  <r>
    <n v="858"/>
    <n v="9"/>
    <n v="9"/>
    <n v="2023"/>
    <d v="2023-09-09T00:00:00"/>
    <s v="CUST858"/>
    <x v="0"/>
    <x v="9"/>
    <x v="1"/>
    <x v="2"/>
    <n v="2"/>
    <n v="50"/>
    <n v="100"/>
    <n v="1.5"/>
  </r>
  <r>
    <n v="859"/>
    <n v="18"/>
    <n v="8"/>
    <n v="2023"/>
    <d v="2023-08-18T00:00:00"/>
    <s v="CUST859"/>
    <x v="1"/>
    <x v="37"/>
    <x v="2"/>
    <x v="2"/>
    <n v="3"/>
    <n v="500"/>
    <n v="1500"/>
    <n v="22.5"/>
  </r>
  <r>
    <n v="860"/>
    <n v="9"/>
    <n v="1"/>
    <n v="2023"/>
    <d v="2023-01-09T00:00:00"/>
    <s v="CUST860"/>
    <x v="0"/>
    <x v="7"/>
    <x v="2"/>
    <x v="1"/>
    <n v="4"/>
    <n v="50"/>
    <n v="200"/>
    <n v="3"/>
  </r>
  <r>
    <n v="861"/>
    <n v="17"/>
    <n v="2"/>
    <n v="2023"/>
    <d v="2023-02-17T00:00:00"/>
    <s v="CUST861"/>
    <x v="1"/>
    <x v="41"/>
    <x v="0"/>
    <x v="1"/>
    <n v="3"/>
    <n v="30"/>
    <n v="90"/>
    <n v="1.3499999999999999"/>
  </r>
  <r>
    <n v="862"/>
    <n v="31"/>
    <n v="5"/>
    <n v="2023"/>
    <d v="2023-05-31T00:00:00"/>
    <s v="CUST862"/>
    <x v="0"/>
    <x v="20"/>
    <x v="1"/>
    <x v="2"/>
    <n v="4"/>
    <n v="300"/>
    <n v="1200"/>
    <n v="18"/>
  </r>
  <r>
    <n v="863"/>
    <n v="24"/>
    <n v="4"/>
    <n v="2023"/>
    <d v="2023-04-24T00:00:00"/>
    <s v="CUST863"/>
    <x v="1"/>
    <x v="4"/>
    <x v="0"/>
    <x v="2"/>
    <n v="2"/>
    <n v="25"/>
    <n v="50"/>
    <n v="0.75"/>
  </r>
  <r>
    <n v="864"/>
    <n v="27"/>
    <n v="7"/>
    <n v="2023"/>
    <d v="2023-07-27T00:00:00"/>
    <s v="CUST864"/>
    <x v="1"/>
    <x v="25"/>
    <x v="2"/>
    <x v="2"/>
    <n v="1"/>
    <n v="500"/>
    <n v="500"/>
    <n v="7.5"/>
  </r>
  <r>
    <n v="865"/>
    <n v="21"/>
    <n v="12"/>
    <n v="2023"/>
    <d v="2023-12-21T00:00:00"/>
    <s v="CUST865"/>
    <x v="1"/>
    <x v="13"/>
    <x v="0"/>
    <x v="1"/>
    <n v="1"/>
    <n v="300"/>
    <n v="300"/>
    <n v="4.5"/>
  </r>
  <r>
    <n v="866"/>
    <n v="5"/>
    <n v="5"/>
    <n v="2023"/>
    <d v="2023-05-05T00:00:00"/>
    <s v="CUST866"/>
    <x v="0"/>
    <x v="46"/>
    <x v="1"/>
    <x v="2"/>
    <n v="1"/>
    <n v="50"/>
    <n v="50"/>
    <n v="0.75"/>
  </r>
  <r>
    <n v="867"/>
    <n v="6"/>
    <n v="6"/>
    <n v="2023"/>
    <d v="2023-06-06T00:00:00"/>
    <s v="CUST867"/>
    <x v="0"/>
    <x v="34"/>
    <x v="1"/>
    <x v="2"/>
    <n v="1"/>
    <n v="500"/>
    <n v="500"/>
    <n v="7.5"/>
  </r>
  <r>
    <n v="868"/>
    <n v="6"/>
    <n v="12"/>
    <n v="2023"/>
    <d v="2023-12-06T00:00:00"/>
    <s v="CUST868"/>
    <x v="1"/>
    <x v="36"/>
    <x v="1"/>
    <x v="2"/>
    <n v="1"/>
    <n v="300"/>
    <n v="300"/>
    <n v="4.5"/>
  </r>
  <r>
    <n v="869"/>
    <n v="25"/>
    <n v="10"/>
    <n v="2023"/>
    <d v="2023-10-25T00:00:00"/>
    <s v="CUST869"/>
    <x v="0"/>
    <x v="3"/>
    <x v="0"/>
    <x v="0"/>
    <n v="3"/>
    <n v="500"/>
    <n v="1500"/>
    <n v="22.5"/>
  </r>
  <r>
    <n v="870"/>
    <n v="8"/>
    <n v="7"/>
    <n v="2023"/>
    <d v="2023-07-08T00:00:00"/>
    <s v="CUST870"/>
    <x v="1"/>
    <x v="6"/>
    <x v="0"/>
    <x v="2"/>
    <n v="4"/>
    <n v="30"/>
    <n v="120"/>
    <n v="1.7999999999999998"/>
  </r>
  <r>
    <n v="871"/>
    <n v="31"/>
    <n v="8"/>
    <n v="2023"/>
    <d v="2023-08-31T00:00:00"/>
    <s v="CUST871"/>
    <x v="0"/>
    <x v="17"/>
    <x v="2"/>
    <x v="0"/>
    <n v="2"/>
    <n v="30"/>
    <n v="60"/>
    <n v="0.89999999999999991"/>
  </r>
  <r>
    <n v="872"/>
    <n v="11"/>
    <n v="10"/>
    <n v="2023"/>
    <d v="2023-10-11T00:00:00"/>
    <s v="CUST872"/>
    <x v="1"/>
    <x v="7"/>
    <x v="2"/>
    <x v="0"/>
    <n v="3"/>
    <n v="25"/>
    <n v="75"/>
    <n v="1.125"/>
  </r>
  <r>
    <n v="873"/>
    <n v="29"/>
    <n v="9"/>
    <n v="2023"/>
    <d v="2023-09-29T00:00:00"/>
    <s v="CUST873"/>
    <x v="1"/>
    <x v="15"/>
    <x v="1"/>
    <x v="2"/>
    <n v="4"/>
    <n v="25"/>
    <n v="100"/>
    <n v="1.5"/>
  </r>
  <r>
    <n v="874"/>
    <n v="26"/>
    <n v="6"/>
    <n v="2023"/>
    <d v="2023-06-26T00:00:00"/>
    <s v="CUST874"/>
    <x v="0"/>
    <x v="43"/>
    <x v="2"/>
    <x v="0"/>
    <n v="1"/>
    <n v="30"/>
    <n v="30"/>
    <n v="0.44999999999999996"/>
  </r>
  <r>
    <n v="875"/>
    <n v="6"/>
    <n v="8"/>
    <n v="2023"/>
    <d v="2023-08-06T00:00:00"/>
    <s v="CUST875"/>
    <x v="1"/>
    <x v="25"/>
    <x v="2"/>
    <x v="2"/>
    <n v="4"/>
    <n v="500"/>
    <n v="2000"/>
    <n v="30"/>
  </r>
  <r>
    <n v="876"/>
    <n v="9"/>
    <n v="10"/>
    <n v="2023"/>
    <d v="2023-10-09T00:00:00"/>
    <s v="CUST876"/>
    <x v="0"/>
    <x v="22"/>
    <x v="0"/>
    <x v="1"/>
    <n v="4"/>
    <n v="30"/>
    <n v="120"/>
    <n v="1.7999999999999998"/>
  </r>
  <r>
    <n v="877"/>
    <n v="19"/>
    <n v="6"/>
    <n v="2023"/>
    <d v="2023-06-19T00:00:00"/>
    <s v="CUST877"/>
    <x v="1"/>
    <x v="26"/>
    <x v="2"/>
    <x v="1"/>
    <n v="1"/>
    <n v="25"/>
    <n v="25"/>
    <n v="0.375"/>
  </r>
  <r>
    <n v="878"/>
    <n v="30"/>
    <n v="6"/>
    <n v="2023"/>
    <d v="2023-06-30T00:00:00"/>
    <s v="CUST878"/>
    <x v="1"/>
    <x v="29"/>
    <x v="1"/>
    <x v="1"/>
    <n v="1"/>
    <n v="30"/>
    <n v="30"/>
    <n v="0.44999999999999996"/>
  </r>
  <r>
    <n v="879"/>
    <n v="26"/>
    <n v="12"/>
    <n v="2023"/>
    <d v="2023-12-26T00:00:00"/>
    <s v="CUST879"/>
    <x v="0"/>
    <x v="9"/>
    <x v="1"/>
    <x v="1"/>
    <n v="1"/>
    <n v="30"/>
    <n v="30"/>
    <n v="0.44999999999999996"/>
  </r>
  <r>
    <n v="880"/>
    <n v="21"/>
    <n v="8"/>
    <n v="2023"/>
    <d v="2023-08-21T00:00:00"/>
    <s v="CUST880"/>
    <x v="0"/>
    <x v="11"/>
    <x v="1"/>
    <x v="0"/>
    <n v="2"/>
    <n v="500"/>
    <n v="1000"/>
    <n v="15"/>
  </r>
  <r>
    <n v="881"/>
    <n v="19"/>
    <n v="5"/>
    <n v="2023"/>
    <d v="2023-05-19T00:00:00"/>
    <s v="CUST881"/>
    <x v="0"/>
    <x v="11"/>
    <x v="1"/>
    <x v="2"/>
    <n v="1"/>
    <n v="300"/>
    <n v="300"/>
    <n v="4.5"/>
  </r>
  <r>
    <n v="882"/>
    <n v="6"/>
    <n v="6"/>
    <n v="2023"/>
    <d v="2023-06-06T00:00:00"/>
    <s v="CUST882"/>
    <x v="1"/>
    <x v="12"/>
    <x v="2"/>
    <x v="2"/>
    <n v="2"/>
    <n v="25"/>
    <n v="50"/>
    <n v="0.75"/>
  </r>
  <r>
    <n v="883"/>
    <n v="9"/>
    <n v="5"/>
    <n v="2023"/>
    <d v="2023-05-09T00:00:00"/>
    <s v="CUST883"/>
    <x v="0"/>
    <x v="30"/>
    <x v="0"/>
    <x v="2"/>
    <n v="1"/>
    <n v="500"/>
    <n v="500"/>
    <n v="7.5"/>
  </r>
  <r>
    <n v="884"/>
    <n v="29"/>
    <n v="4"/>
    <n v="2023"/>
    <d v="2023-04-29T00:00:00"/>
    <s v="CUST884"/>
    <x v="1"/>
    <x v="1"/>
    <x v="1"/>
    <x v="1"/>
    <n v="2"/>
    <n v="30"/>
    <n v="60"/>
    <n v="0.89999999999999991"/>
  </r>
  <r>
    <n v="885"/>
    <n v="3"/>
    <n v="3"/>
    <n v="2023"/>
    <d v="2023-03-03T00:00:00"/>
    <s v="CUST885"/>
    <x v="1"/>
    <x v="8"/>
    <x v="2"/>
    <x v="1"/>
    <n v="4"/>
    <n v="30"/>
    <n v="120"/>
    <n v="1.7999999999999998"/>
  </r>
  <r>
    <n v="886"/>
    <n v="9"/>
    <n v="4"/>
    <n v="2023"/>
    <d v="2023-04-09T00:00:00"/>
    <s v="CUST886"/>
    <x v="0"/>
    <x v="3"/>
    <x v="0"/>
    <x v="2"/>
    <n v="3"/>
    <n v="300"/>
    <n v="900"/>
    <n v="13.5"/>
  </r>
  <r>
    <n v="887"/>
    <n v="11"/>
    <n v="6"/>
    <n v="2023"/>
    <d v="2023-06-11T00:00:00"/>
    <s v="CUST887"/>
    <x v="0"/>
    <x v="42"/>
    <x v="2"/>
    <x v="1"/>
    <n v="4"/>
    <n v="25"/>
    <n v="100"/>
    <n v="1.5"/>
  </r>
  <r>
    <n v="888"/>
    <n v="3"/>
    <n v="3"/>
    <n v="2023"/>
    <d v="2023-03-03T00:00:00"/>
    <s v="CUST888"/>
    <x v="1"/>
    <x v="8"/>
    <x v="2"/>
    <x v="2"/>
    <n v="4"/>
    <n v="25"/>
    <n v="100"/>
    <n v="1.5"/>
  </r>
  <r>
    <n v="889"/>
    <n v="2"/>
    <n v="10"/>
    <n v="2023"/>
    <d v="2023-10-02T00:00:00"/>
    <s v="CUST889"/>
    <x v="1"/>
    <x v="10"/>
    <x v="0"/>
    <x v="2"/>
    <n v="1"/>
    <n v="50"/>
    <n v="50"/>
    <n v="0.75"/>
  </r>
  <r>
    <n v="890"/>
    <n v="20"/>
    <n v="12"/>
    <n v="2023"/>
    <d v="2023-12-20T00:00:00"/>
    <s v="CUST890"/>
    <x v="0"/>
    <x v="0"/>
    <x v="0"/>
    <x v="2"/>
    <n v="2"/>
    <n v="25"/>
    <n v="50"/>
    <n v="0.75"/>
  </r>
  <r>
    <n v="891"/>
    <n v="5"/>
    <n v="4"/>
    <n v="2023"/>
    <d v="2023-04-05T00:00:00"/>
    <s v="CUST891"/>
    <x v="0"/>
    <x v="41"/>
    <x v="0"/>
    <x v="2"/>
    <n v="3"/>
    <n v="300"/>
    <n v="900"/>
    <n v="13.5"/>
  </r>
  <r>
    <n v="892"/>
    <n v="9"/>
    <n v="4"/>
    <n v="2023"/>
    <d v="2023-04-09T00:00:00"/>
    <s v="CUST892"/>
    <x v="0"/>
    <x v="29"/>
    <x v="1"/>
    <x v="2"/>
    <n v="1"/>
    <n v="50"/>
    <n v="50"/>
    <n v="0.75"/>
  </r>
  <r>
    <n v="893"/>
    <n v="21"/>
    <n v="4"/>
    <n v="2023"/>
    <d v="2023-04-21T00:00:00"/>
    <s v="CUST893"/>
    <x v="0"/>
    <x v="19"/>
    <x v="0"/>
    <x v="2"/>
    <n v="1"/>
    <n v="50"/>
    <n v="50"/>
    <n v="0.75"/>
  </r>
  <r>
    <n v="894"/>
    <n v="5"/>
    <n v="9"/>
    <n v="2023"/>
    <d v="2023-09-05T00:00:00"/>
    <s v="CUST894"/>
    <x v="0"/>
    <x v="8"/>
    <x v="2"/>
    <x v="2"/>
    <n v="1"/>
    <n v="30"/>
    <n v="30"/>
    <n v="0.44999999999999996"/>
  </r>
  <r>
    <n v="895"/>
    <n v="22"/>
    <n v="5"/>
    <n v="2023"/>
    <d v="2023-05-22T00:00:00"/>
    <s v="CUST895"/>
    <x v="1"/>
    <x v="28"/>
    <x v="2"/>
    <x v="1"/>
    <n v="4"/>
    <n v="30"/>
    <n v="120"/>
    <n v="1.7999999999999998"/>
  </r>
  <r>
    <n v="896"/>
    <n v="29"/>
    <n v="10"/>
    <n v="2023"/>
    <d v="2023-10-29T00:00:00"/>
    <s v="CUST896"/>
    <x v="1"/>
    <x v="4"/>
    <x v="0"/>
    <x v="2"/>
    <n v="2"/>
    <n v="25"/>
    <n v="50"/>
    <n v="0.75"/>
  </r>
  <r>
    <n v="897"/>
    <n v="26"/>
    <n v="9"/>
    <n v="2023"/>
    <d v="2023-09-26T00:00:00"/>
    <s v="CUST897"/>
    <x v="1"/>
    <x v="12"/>
    <x v="2"/>
    <x v="2"/>
    <n v="2"/>
    <n v="50"/>
    <n v="100"/>
    <n v="1.5"/>
  </r>
  <r>
    <n v="898"/>
    <n v="2"/>
    <n v="11"/>
    <n v="2023"/>
    <d v="2023-11-02T00:00:00"/>
    <s v="CUST898"/>
    <x v="1"/>
    <x v="13"/>
    <x v="0"/>
    <x v="1"/>
    <n v="3"/>
    <n v="30"/>
    <n v="90"/>
    <n v="1.3499999999999999"/>
  </r>
  <r>
    <n v="899"/>
    <n v="25"/>
    <n v="5"/>
    <n v="2023"/>
    <d v="2023-05-25T00:00:00"/>
    <s v="CUST899"/>
    <x v="0"/>
    <x v="1"/>
    <x v="1"/>
    <x v="1"/>
    <n v="2"/>
    <n v="300"/>
    <n v="600"/>
    <n v="9"/>
  </r>
  <r>
    <n v="900"/>
    <n v="21"/>
    <n v="2"/>
    <n v="2023"/>
    <d v="2023-02-21T00:00:00"/>
    <s v="CUST900"/>
    <x v="0"/>
    <x v="34"/>
    <x v="1"/>
    <x v="1"/>
    <n v="2"/>
    <n v="30"/>
    <n v="60"/>
    <n v="0.89999999999999991"/>
  </r>
  <r>
    <n v="901"/>
    <n v="10"/>
    <n v="4"/>
    <n v="2023"/>
    <d v="2023-04-10T00:00:00"/>
    <s v="CUST901"/>
    <x v="0"/>
    <x v="33"/>
    <x v="0"/>
    <x v="2"/>
    <n v="1"/>
    <n v="30"/>
    <n v="30"/>
    <n v="0.44999999999999996"/>
  </r>
  <r>
    <n v="902"/>
    <n v="1"/>
    <n v="6"/>
    <n v="2023"/>
    <d v="2023-06-01T00:00:00"/>
    <s v="CUST902"/>
    <x v="1"/>
    <x v="31"/>
    <x v="2"/>
    <x v="0"/>
    <n v="1"/>
    <n v="50"/>
    <n v="50"/>
    <n v="0.75"/>
  </r>
  <r>
    <n v="903"/>
    <n v="27"/>
    <n v="4"/>
    <n v="2023"/>
    <d v="2023-04-27T00:00:00"/>
    <s v="CUST903"/>
    <x v="1"/>
    <x v="25"/>
    <x v="2"/>
    <x v="0"/>
    <n v="4"/>
    <n v="50"/>
    <n v="200"/>
    <n v="3"/>
  </r>
  <r>
    <n v="904"/>
    <n v="4"/>
    <n v="7"/>
    <n v="2023"/>
    <d v="2023-07-04T00:00:00"/>
    <s v="CUST904"/>
    <x v="0"/>
    <x v="20"/>
    <x v="1"/>
    <x v="1"/>
    <n v="1"/>
    <n v="500"/>
    <n v="500"/>
    <n v="7.5"/>
  </r>
  <r>
    <n v="905"/>
    <n v="2"/>
    <n v="4"/>
    <n v="2023"/>
    <d v="2023-04-02T00:00:00"/>
    <s v="CUST905"/>
    <x v="0"/>
    <x v="26"/>
    <x v="2"/>
    <x v="0"/>
    <n v="1"/>
    <n v="300"/>
    <n v="300"/>
    <n v="4.5"/>
  </r>
  <r>
    <n v="906"/>
    <n v="4"/>
    <n v="6"/>
    <n v="2023"/>
    <d v="2023-06-04T00:00:00"/>
    <s v="CUST906"/>
    <x v="1"/>
    <x v="29"/>
    <x v="1"/>
    <x v="1"/>
    <n v="1"/>
    <n v="50"/>
    <n v="50"/>
    <n v="0.75"/>
  </r>
  <r>
    <n v="907"/>
    <n v="8"/>
    <n v="1"/>
    <n v="2023"/>
    <d v="2023-01-08T00:00:00"/>
    <s v="CUST907"/>
    <x v="1"/>
    <x v="5"/>
    <x v="0"/>
    <x v="2"/>
    <n v="1"/>
    <n v="25"/>
    <n v="25"/>
    <n v="0.375"/>
  </r>
  <r>
    <n v="908"/>
    <n v="29"/>
    <n v="12"/>
    <n v="2023"/>
    <d v="2023-12-29T00:00:00"/>
    <s v="CUST908"/>
    <x v="0"/>
    <x v="6"/>
    <x v="0"/>
    <x v="0"/>
    <n v="4"/>
    <n v="300"/>
    <n v="1200"/>
    <n v="18"/>
  </r>
  <r>
    <n v="909"/>
    <n v="1"/>
    <n v="10"/>
    <n v="2023"/>
    <d v="2023-10-01T00:00:00"/>
    <s v="CUST909"/>
    <x v="0"/>
    <x v="1"/>
    <x v="1"/>
    <x v="2"/>
    <n v="1"/>
    <n v="300"/>
    <n v="300"/>
    <n v="4.5"/>
  </r>
  <r>
    <n v="910"/>
    <n v="6"/>
    <n v="3"/>
    <n v="2023"/>
    <d v="2023-03-06T00:00:00"/>
    <s v="CUST910"/>
    <x v="1"/>
    <x v="29"/>
    <x v="1"/>
    <x v="0"/>
    <n v="3"/>
    <n v="50"/>
    <n v="150"/>
    <n v="2.25"/>
  </r>
  <r>
    <n v="911"/>
    <n v="21"/>
    <n v="5"/>
    <n v="2023"/>
    <d v="2023-05-21T00:00:00"/>
    <s v="CUST911"/>
    <x v="0"/>
    <x v="13"/>
    <x v="0"/>
    <x v="2"/>
    <n v="3"/>
    <n v="300"/>
    <n v="900"/>
    <n v="13.5"/>
  </r>
  <r>
    <n v="912"/>
    <n v="24"/>
    <n v="1"/>
    <n v="2023"/>
    <d v="2023-01-24T00:00:00"/>
    <s v="CUST912"/>
    <x v="0"/>
    <x v="25"/>
    <x v="2"/>
    <x v="0"/>
    <n v="3"/>
    <n v="50"/>
    <n v="150"/>
    <n v="2.25"/>
  </r>
  <r>
    <n v="913"/>
    <n v="28"/>
    <n v="1"/>
    <n v="2023"/>
    <d v="2023-01-28T00:00:00"/>
    <s v="CUST913"/>
    <x v="0"/>
    <x v="38"/>
    <x v="1"/>
    <x v="2"/>
    <n v="3"/>
    <n v="30"/>
    <n v="90"/>
    <n v="1.3499999999999999"/>
  </r>
  <r>
    <n v="914"/>
    <n v="11"/>
    <n v="10"/>
    <n v="2023"/>
    <d v="2023-10-11T00:00:00"/>
    <s v="CUST914"/>
    <x v="1"/>
    <x v="42"/>
    <x v="2"/>
    <x v="2"/>
    <n v="1"/>
    <n v="500"/>
    <n v="500"/>
    <n v="7.5"/>
  </r>
  <r>
    <n v="915"/>
    <n v="30"/>
    <n v="5"/>
    <n v="2023"/>
    <d v="2023-05-30T00:00:00"/>
    <s v="CUST915"/>
    <x v="1"/>
    <x v="1"/>
    <x v="1"/>
    <x v="0"/>
    <n v="3"/>
    <n v="30"/>
    <n v="90"/>
    <n v="1.3499999999999999"/>
  </r>
  <r>
    <n v="916"/>
    <n v="24"/>
    <n v="12"/>
    <n v="2023"/>
    <d v="2023-12-24T00:00:00"/>
    <s v="CUST916"/>
    <x v="1"/>
    <x v="40"/>
    <x v="0"/>
    <x v="2"/>
    <n v="1"/>
    <n v="50"/>
    <n v="50"/>
    <n v="0.75"/>
  </r>
  <r>
    <n v="917"/>
    <n v="6"/>
    <n v="3"/>
    <n v="2023"/>
    <d v="2023-03-06T00:00:00"/>
    <s v="CUST917"/>
    <x v="1"/>
    <x v="35"/>
    <x v="2"/>
    <x v="2"/>
    <n v="4"/>
    <n v="50"/>
    <n v="200"/>
    <n v="3"/>
  </r>
  <r>
    <n v="918"/>
    <n v="23"/>
    <n v="11"/>
    <n v="2023"/>
    <d v="2023-11-23T00:00:00"/>
    <s v="CUST918"/>
    <x v="1"/>
    <x v="13"/>
    <x v="0"/>
    <x v="2"/>
    <n v="3"/>
    <n v="30"/>
    <n v="90"/>
    <n v="1.3499999999999999"/>
  </r>
  <r>
    <n v="919"/>
    <n v="9"/>
    <n v="9"/>
    <n v="2023"/>
    <d v="2023-09-09T00:00:00"/>
    <s v="CUST919"/>
    <x v="1"/>
    <x v="11"/>
    <x v="1"/>
    <x v="0"/>
    <n v="2"/>
    <n v="25"/>
    <n v="50"/>
    <n v="0.75"/>
  </r>
  <r>
    <n v="920"/>
    <n v="22"/>
    <n v="2"/>
    <n v="2023"/>
    <d v="2023-02-22T00:00:00"/>
    <s v="CUST920"/>
    <x v="1"/>
    <x v="20"/>
    <x v="1"/>
    <x v="0"/>
    <n v="3"/>
    <n v="25"/>
    <n v="75"/>
    <n v="1.125"/>
  </r>
  <r>
    <n v="921"/>
    <n v="7"/>
    <n v="1"/>
    <n v="2023"/>
    <d v="2023-01-07T00:00:00"/>
    <s v="CUST921"/>
    <x v="0"/>
    <x v="25"/>
    <x v="2"/>
    <x v="2"/>
    <n v="3"/>
    <n v="25"/>
    <n v="75"/>
    <n v="1.125"/>
  </r>
  <r>
    <n v="922"/>
    <n v="21"/>
    <n v="10"/>
    <n v="2023"/>
    <d v="2023-10-21T00:00:00"/>
    <s v="CUST922"/>
    <x v="0"/>
    <x v="41"/>
    <x v="0"/>
    <x v="2"/>
    <n v="1"/>
    <n v="50"/>
    <n v="50"/>
    <n v="0.75"/>
  </r>
  <r>
    <n v="923"/>
    <n v="26"/>
    <n v="5"/>
    <n v="2023"/>
    <d v="2023-05-26T00:00:00"/>
    <s v="CUST923"/>
    <x v="0"/>
    <x v="40"/>
    <x v="0"/>
    <x v="0"/>
    <n v="3"/>
    <n v="300"/>
    <n v="900"/>
    <n v="13.5"/>
  </r>
  <r>
    <n v="924"/>
    <n v="29"/>
    <n v="8"/>
    <n v="2023"/>
    <d v="2023-08-29T00:00:00"/>
    <s v="CUST924"/>
    <x v="0"/>
    <x v="28"/>
    <x v="2"/>
    <x v="0"/>
    <n v="2"/>
    <n v="50"/>
    <n v="100"/>
    <n v="1.5"/>
  </r>
  <r>
    <n v="925"/>
    <n v="3"/>
    <n v="9"/>
    <n v="2023"/>
    <d v="2023-09-03T00:00:00"/>
    <s v="CUST925"/>
    <x v="0"/>
    <x v="36"/>
    <x v="1"/>
    <x v="2"/>
    <n v="1"/>
    <n v="300"/>
    <n v="300"/>
    <n v="4.5"/>
  </r>
  <r>
    <n v="926"/>
    <n v="14"/>
    <n v="8"/>
    <n v="2023"/>
    <d v="2023-08-14T00:00:00"/>
    <s v="CUST926"/>
    <x v="0"/>
    <x v="11"/>
    <x v="1"/>
    <x v="2"/>
    <n v="1"/>
    <n v="30"/>
    <n v="30"/>
    <n v="0.44999999999999996"/>
  </r>
  <r>
    <n v="927"/>
    <n v="24"/>
    <n v="6"/>
    <n v="2023"/>
    <d v="2023-06-24T00:00:00"/>
    <s v="CUST927"/>
    <x v="0"/>
    <x v="22"/>
    <x v="0"/>
    <x v="2"/>
    <n v="4"/>
    <n v="500"/>
    <n v="2000"/>
    <n v="30"/>
  </r>
  <r>
    <n v="928"/>
    <n v="5"/>
    <n v="4"/>
    <n v="2023"/>
    <d v="2023-04-05T00:00:00"/>
    <s v="CUST928"/>
    <x v="1"/>
    <x v="10"/>
    <x v="0"/>
    <x v="1"/>
    <n v="4"/>
    <n v="300"/>
    <n v="1200"/>
    <n v="18"/>
  </r>
  <r>
    <n v="929"/>
    <n v="27"/>
    <n v="1"/>
    <n v="2023"/>
    <d v="2023-01-27T00:00:00"/>
    <s v="CUST929"/>
    <x v="1"/>
    <x v="9"/>
    <x v="1"/>
    <x v="0"/>
    <n v="3"/>
    <n v="25"/>
    <n v="75"/>
    <n v="1.125"/>
  </r>
  <r>
    <n v="930"/>
    <n v="10"/>
    <n v="5"/>
    <n v="2023"/>
    <d v="2023-05-10T00:00:00"/>
    <s v="CUST930"/>
    <x v="0"/>
    <x v="31"/>
    <x v="2"/>
    <x v="1"/>
    <n v="4"/>
    <n v="50"/>
    <n v="200"/>
    <n v="3"/>
  </r>
  <r>
    <n v="931"/>
    <n v="2"/>
    <n v="9"/>
    <n v="2023"/>
    <d v="2023-09-02T00:00:00"/>
    <s v="CUST931"/>
    <x v="0"/>
    <x v="4"/>
    <x v="0"/>
    <x v="0"/>
    <n v="4"/>
    <n v="30"/>
    <n v="120"/>
    <n v="1.7999999999999998"/>
  </r>
  <r>
    <n v="932"/>
    <n v="28"/>
    <n v="2"/>
    <n v="2023"/>
    <d v="2023-02-28T00:00:00"/>
    <s v="CUST932"/>
    <x v="1"/>
    <x v="5"/>
    <x v="0"/>
    <x v="0"/>
    <n v="4"/>
    <n v="25"/>
    <n v="100"/>
    <n v="1.5"/>
  </r>
  <r>
    <n v="933"/>
    <n v="3"/>
    <n v="2"/>
    <n v="2023"/>
    <d v="2023-02-03T00:00:00"/>
    <s v="CUST933"/>
    <x v="0"/>
    <x v="11"/>
    <x v="1"/>
    <x v="0"/>
    <n v="1"/>
    <n v="30"/>
    <n v="30"/>
    <n v="0.44999999999999996"/>
  </r>
  <r>
    <n v="934"/>
    <n v="25"/>
    <n v="7"/>
    <n v="2023"/>
    <d v="2023-07-25T00:00:00"/>
    <s v="CUST934"/>
    <x v="0"/>
    <x v="4"/>
    <x v="0"/>
    <x v="0"/>
    <n v="1"/>
    <n v="500"/>
    <n v="500"/>
    <n v="7.5"/>
  </r>
  <r>
    <n v="935"/>
    <n v="9"/>
    <n v="9"/>
    <n v="2023"/>
    <d v="2023-09-09T00:00:00"/>
    <s v="CUST935"/>
    <x v="1"/>
    <x v="0"/>
    <x v="0"/>
    <x v="0"/>
    <n v="1"/>
    <n v="50"/>
    <n v="50"/>
    <n v="0.75"/>
  </r>
  <r>
    <n v="936"/>
    <n v="7"/>
    <n v="2"/>
    <n v="2023"/>
    <d v="2023-02-07T00:00:00"/>
    <s v="CUST936"/>
    <x v="0"/>
    <x v="35"/>
    <x v="2"/>
    <x v="0"/>
    <n v="4"/>
    <n v="50"/>
    <n v="200"/>
    <n v="3"/>
  </r>
  <r>
    <n v="937"/>
    <n v="23"/>
    <n v="10"/>
    <n v="2023"/>
    <d v="2023-10-23T00:00:00"/>
    <s v="CUST937"/>
    <x v="1"/>
    <x v="17"/>
    <x v="2"/>
    <x v="0"/>
    <n v="1"/>
    <n v="500"/>
    <n v="500"/>
    <n v="7.5"/>
  </r>
  <r>
    <n v="938"/>
    <n v="19"/>
    <n v="11"/>
    <n v="2023"/>
    <d v="2023-11-19T00:00:00"/>
    <s v="CUST938"/>
    <x v="0"/>
    <x v="19"/>
    <x v="0"/>
    <x v="1"/>
    <n v="4"/>
    <n v="50"/>
    <n v="200"/>
    <n v="3"/>
  </r>
  <r>
    <n v="939"/>
    <n v="18"/>
    <n v="12"/>
    <n v="2023"/>
    <d v="2023-12-18T00:00:00"/>
    <s v="CUST939"/>
    <x v="1"/>
    <x v="6"/>
    <x v="0"/>
    <x v="2"/>
    <n v="1"/>
    <n v="300"/>
    <n v="300"/>
    <n v="4.5"/>
  </r>
  <r>
    <n v="940"/>
    <n v="28"/>
    <n v="1"/>
    <n v="2023"/>
    <d v="2023-01-28T00:00:00"/>
    <s v="CUST940"/>
    <x v="1"/>
    <x v="29"/>
    <x v="1"/>
    <x v="2"/>
    <n v="1"/>
    <n v="30"/>
    <n v="30"/>
    <n v="0.44999999999999996"/>
  </r>
  <r>
    <n v="941"/>
    <n v="19"/>
    <n v="3"/>
    <n v="2023"/>
    <d v="2023-03-19T00:00:00"/>
    <s v="CUST941"/>
    <x v="1"/>
    <x v="35"/>
    <x v="2"/>
    <x v="1"/>
    <n v="2"/>
    <n v="25"/>
    <n v="50"/>
    <n v="0.75"/>
  </r>
  <r>
    <n v="942"/>
    <n v="18"/>
    <n v="3"/>
    <n v="2023"/>
    <d v="2023-03-18T00:00:00"/>
    <s v="CUST942"/>
    <x v="0"/>
    <x v="25"/>
    <x v="2"/>
    <x v="1"/>
    <n v="3"/>
    <n v="500"/>
    <n v="1500"/>
    <n v="22.5"/>
  </r>
  <r>
    <n v="943"/>
    <n v="16"/>
    <n v="10"/>
    <n v="2023"/>
    <d v="2023-10-16T00:00:00"/>
    <s v="CUST943"/>
    <x v="1"/>
    <x v="35"/>
    <x v="2"/>
    <x v="1"/>
    <n v="4"/>
    <n v="300"/>
    <n v="1200"/>
    <n v="18"/>
  </r>
  <r>
    <n v="944"/>
    <n v="5"/>
    <n v="6"/>
    <n v="2023"/>
    <d v="2023-06-05T00:00:00"/>
    <s v="CUST944"/>
    <x v="0"/>
    <x v="24"/>
    <x v="0"/>
    <x v="1"/>
    <n v="2"/>
    <n v="25"/>
    <n v="50"/>
    <n v="0.75"/>
  </r>
  <r>
    <n v="945"/>
    <n v="13"/>
    <n v="2"/>
    <n v="2023"/>
    <d v="2023-02-13T00:00:00"/>
    <s v="CUST945"/>
    <x v="0"/>
    <x v="4"/>
    <x v="0"/>
    <x v="0"/>
    <n v="1"/>
    <n v="25"/>
    <n v="25"/>
    <n v="0.375"/>
  </r>
  <r>
    <n v="946"/>
    <n v="8"/>
    <n v="5"/>
    <n v="2023"/>
    <d v="2023-05-08T00:00:00"/>
    <s v="CUST946"/>
    <x v="0"/>
    <x v="17"/>
    <x v="2"/>
    <x v="2"/>
    <n v="4"/>
    <n v="500"/>
    <n v="2000"/>
    <n v="30"/>
  </r>
  <r>
    <n v="947"/>
    <n v="2"/>
    <n v="3"/>
    <n v="2023"/>
    <d v="2023-03-02T00:00:00"/>
    <s v="CUST947"/>
    <x v="0"/>
    <x v="2"/>
    <x v="2"/>
    <x v="0"/>
    <n v="1"/>
    <n v="300"/>
    <n v="300"/>
    <n v="4.5"/>
  </r>
  <r>
    <n v="948"/>
    <n v="13"/>
    <n v="10"/>
    <n v="2023"/>
    <d v="2023-10-13T00:00:00"/>
    <s v="CUST948"/>
    <x v="1"/>
    <x v="9"/>
    <x v="1"/>
    <x v="2"/>
    <n v="3"/>
    <n v="25"/>
    <n v="75"/>
    <n v="1.125"/>
  </r>
  <r>
    <n v="949"/>
    <n v="2"/>
    <n v="8"/>
    <n v="2023"/>
    <d v="2023-08-02T00:00:00"/>
    <s v="CUST949"/>
    <x v="1"/>
    <x v="41"/>
    <x v="0"/>
    <x v="2"/>
    <n v="2"/>
    <n v="25"/>
    <n v="50"/>
    <n v="0.75"/>
  </r>
  <r>
    <n v="950"/>
    <n v="7"/>
    <n v="11"/>
    <n v="2023"/>
    <d v="2023-11-07T00:00:00"/>
    <s v="CUST950"/>
    <x v="0"/>
    <x v="32"/>
    <x v="0"/>
    <x v="1"/>
    <n v="3"/>
    <n v="300"/>
    <n v="900"/>
    <n v="13.5"/>
  </r>
  <r>
    <n v="951"/>
    <n v="2"/>
    <n v="11"/>
    <n v="2023"/>
    <d v="2023-11-02T00:00:00"/>
    <s v="CUST951"/>
    <x v="0"/>
    <x v="44"/>
    <x v="0"/>
    <x v="0"/>
    <n v="2"/>
    <n v="50"/>
    <n v="100"/>
    <n v="1.5"/>
  </r>
  <r>
    <n v="952"/>
    <n v="13"/>
    <n v="11"/>
    <n v="2023"/>
    <d v="2023-11-13T00:00:00"/>
    <s v="CUST952"/>
    <x v="1"/>
    <x v="35"/>
    <x v="2"/>
    <x v="1"/>
    <n v="1"/>
    <n v="25"/>
    <n v="25"/>
    <n v="0.375"/>
  </r>
  <r>
    <n v="953"/>
    <n v="26"/>
    <n v="4"/>
    <n v="2023"/>
    <d v="2023-04-26T00:00:00"/>
    <s v="CUST953"/>
    <x v="0"/>
    <x v="5"/>
    <x v="0"/>
    <x v="0"/>
    <n v="3"/>
    <n v="30"/>
    <n v="90"/>
    <n v="1.3499999999999999"/>
  </r>
  <r>
    <n v="954"/>
    <n v="25"/>
    <n v="9"/>
    <n v="2023"/>
    <d v="2023-09-25T00:00:00"/>
    <s v="CUST954"/>
    <x v="1"/>
    <x v="2"/>
    <x v="2"/>
    <x v="2"/>
    <n v="3"/>
    <n v="300"/>
    <n v="900"/>
    <n v="13.5"/>
  </r>
  <r>
    <n v="955"/>
    <n v="14"/>
    <n v="7"/>
    <n v="2023"/>
    <d v="2023-07-14T00:00:00"/>
    <s v="CUST955"/>
    <x v="0"/>
    <x v="26"/>
    <x v="2"/>
    <x v="1"/>
    <n v="1"/>
    <n v="25"/>
    <n v="25"/>
    <n v="0.375"/>
  </r>
  <r>
    <n v="956"/>
    <n v="19"/>
    <n v="8"/>
    <n v="2023"/>
    <d v="2023-08-19T00:00:00"/>
    <s v="CUST956"/>
    <x v="0"/>
    <x v="4"/>
    <x v="0"/>
    <x v="1"/>
    <n v="3"/>
    <n v="500"/>
    <n v="1500"/>
    <n v="22.5"/>
  </r>
  <r>
    <n v="957"/>
    <n v="15"/>
    <n v="8"/>
    <n v="2023"/>
    <d v="2023-08-15T00:00:00"/>
    <s v="CUST957"/>
    <x v="1"/>
    <x v="43"/>
    <x v="2"/>
    <x v="2"/>
    <n v="4"/>
    <n v="30"/>
    <n v="120"/>
    <n v="1.7999999999999998"/>
  </r>
  <r>
    <n v="958"/>
    <n v="2"/>
    <n v="6"/>
    <n v="2023"/>
    <d v="2023-06-02T00:00:00"/>
    <s v="CUST958"/>
    <x v="0"/>
    <x v="17"/>
    <x v="2"/>
    <x v="2"/>
    <n v="2"/>
    <n v="25"/>
    <n v="50"/>
    <n v="0.75"/>
  </r>
  <r>
    <n v="959"/>
    <n v="29"/>
    <n v="10"/>
    <n v="2023"/>
    <d v="2023-10-29T00:00:00"/>
    <s v="CUST959"/>
    <x v="1"/>
    <x v="13"/>
    <x v="0"/>
    <x v="2"/>
    <n v="2"/>
    <n v="30"/>
    <n v="60"/>
    <n v="0.89999999999999991"/>
  </r>
  <r>
    <n v="960"/>
    <n v="8"/>
    <n v="8"/>
    <n v="2023"/>
    <d v="2023-08-08T00:00:00"/>
    <s v="CUST960"/>
    <x v="0"/>
    <x v="42"/>
    <x v="2"/>
    <x v="1"/>
    <n v="2"/>
    <n v="30"/>
    <n v="60"/>
    <n v="0.89999999999999991"/>
  </r>
  <r>
    <n v="961"/>
    <n v="6"/>
    <n v="6"/>
    <n v="2023"/>
    <d v="2023-06-06T00:00:00"/>
    <s v="CUST961"/>
    <x v="0"/>
    <x v="45"/>
    <x v="2"/>
    <x v="0"/>
    <n v="4"/>
    <n v="50"/>
    <n v="200"/>
    <n v="3"/>
  </r>
  <r>
    <n v="962"/>
    <n v="19"/>
    <n v="10"/>
    <n v="2023"/>
    <d v="2023-10-19T00:00:00"/>
    <s v="CUST962"/>
    <x v="0"/>
    <x v="24"/>
    <x v="0"/>
    <x v="1"/>
    <n v="2"/>
    <n v="30"/>
    <n v="60"/>
    <n v="0.89999999999999991"/>
  </r>
  <r>
    <n v="963"/>
    <n v="14"/>
    <n v="11"/>
    <n v="2023"/>
    <d v="2023-11-14T00:00:00"/>
    <s v="CUST963"/>
    <x v="1"/>
    <x v="28"/>
    <x v="2"/>
    <x v="0"/>
    <n v="1"/>
    <n v="50"/>
    <n v="50"/>
    <n v="0.75"/>
  </r>
  <r>
    <n v="964"/>
    <n v="31"/>
    <n v="1"/>
    <n v="2023"/>
    <d v="2023-01-31T00:00:00"/>
    <s v="CUST964"/>
    <x v="0"/>
    <x v="46"/>
    <x v="1"/>
    <x v="1"/>
    <n v="3"/>
    <n v="300"/>
    <n v="900"/>
    <n v="13.5"/>
  </r>
  <r>
    <n v="965"/>
    <n v="9"/>
    <n v="11"/>
    <n v="2023"/>
    <d v="2023-11-09T00:00:00"/>
    <s v="CUST965"/>
    <x v="0"/>
    <x v="11"/>
    <x v="1"/>
    <x v="1"/>
    <n v="4"/>
    <n v="50"/>
    <n v="200"/>
    <n v="3"/>
  </r>
  <r>
    <n v="966"/>
    <n v="20"/>
    <n v="2"/>
    <n v="2023"/>
    <d v="2023-02-20T00:00:00"/>
    <s v="CUST966"/>
    <x v="0"/>
    <x v="43"/>
    <x v="2"/>
    <x v="2"/>
    <n v="2"/>
    <n v="500"/>
    <n v="1000"/>
    <n v="15"/>
  </r>
  <r>
    <n v="967"/>
    <n v="17"/>
    <n v="4"/>
    <n v="2023"/>
    <d v="2023-04-17T00:00:00"/>
    <s v="CUST967"/>
    <x v="0"/>
    <x v="17"/>
    <x v="2"/>
    <x v="0"/>
    <n v="1"/>
    <n v="25"/>
    <n v="25"/>
    <n v="0.375"/>
  </r>
  <r>
    <n v="968"/>
    <n v="17"/>
    <n v="11"/>
    <n v="2023"/>
    <d v="2023-11-17T00:00:00"/>
    <s v="CUST968"/>
    <x v="1"/>
    <x v="27"/>
    <x v="0"/>
    <x v="1"/>
    <n v="3"/>
    <n v="300"/>
    <n v="900"/>
    <n v="13.5"/>
  </r>
  <r>
    <n v="969"/>
    <n v="19"/>
    <n v="4"/>
    <n v="2023"/>
    <d v="2023-04-19T00:00:00"/>
    <s v="CUST969"/>
    <x v="1"/>
    <x v="30"/>
    <x v="0"/>
    <x v="1"/>
    <n v="3"/>
    <n v="300"/>
    <n v="900"/>
    <n v="13.5"/>
  </r>
  <r>
    <n v="970"/>
    <n v="16"/>
    <n v="5"/>
    <n v="2023"/>
    <d v="2023-05-16T00:00:00"/>
    <s v="CUST970"/>
    <x v="0"/>
    <x v="42"/>
    <x v="2"/>
    <x v="2"/>
    <n v="4"/>
    <n v="500"/>
    <n v="2000"/>
    <n v="30"/>
  </r>
  <r>
    <n v="971"/>
    <n v="5"/>
    <n v="12"/>
    <n v="2023"/>
    <d v="2023-12-05T00:00:00"/>
    <s v="CUST971"/>
    <x v="1"/>
    <x v="15"/>
    <x v="1"/>
    <x v="2"/>
    <n v="4"/>
    <n v="50"/>
    <n v="200"/>
    <n v="3"/>
  </r>
  <r>
    <n v="972"/>
    <n v="11"/>
    <n v="2"/>
    <n v="2023"/>
    <d v="2023-02-11T00:00:00"/>
    <s v="CUST972"/>
    <x v="0"/>
    <x v="19"/>
    <x v="0"/>
    <x v="0"/>
    <n v="4"/>
    <n v="25"/>
    <n v="100"/>
    <n v="1.5"/>
  </r>
  <r>
    <n v="973"/>
    <n v="22"/>
    <n v="3"/>
    <n v="2023"/>
    <d v="2023-03-22T00:00:00"/>
    <s v="CUST973"/>
    <x v="0"/>
    <x v="43"/>
    <x v="2"/>
    <x v="1"/>
    <n v="1"/>
    <n v="50"/>
    <n v="50"/>
    <n v="0.75"/>
  </r>
  <r>
    <n v="974"/>
    <n v="3"/>
    <n v="5"/>
    <n v="2023"/>
    <d v="2023-05-03T00:00:00"/>
    <s v="CUST974"/>
    <x v="0"/>
    <x v="16"/>
    <x v="0"/>
    <x v="0"/>
    <n v="1"/>
    <n v="30"/>
    <n v="30"/>
    <n v="0.44999999999999996"/>
  </r>
  <r>
    <n v="975"/>
    <n v="30"/>
    <n v="3"/>
    <n v="2023"/>
    <d v="2023-03-30T00:00:00"/>
    <s v="CUST975"/>
    <x v="1"/>
    <x v="37"/>
    <x v="2"/>
    <x v="1"/>
    <n v="4"/>
    <n v="50"/>
    <n v="200"/>
    <n v="3"/>
  </r>
  <r>
    <n v="976"/>
    <n v="10"/>
    <n v="10"/>
    <n v="2023"/>
    <d v="2023-10-10T00:00:00"/>
    <s v="CUST976"/>
    <x v="1"/>
    <x v="27"/>
    <x v="0"/>
    <x v="0"/>
    <n v="2"/>
    <n v="300"/>
    <n v="600"/>
    <n v="9"/>
  </r>
  <r>
    <n v="977"/>
    <n v="8"/>
    <n v="2"/>
    <n v="2023"/>
    <d v="2023-02-08T00:00:00"/>
    <s v="CUST977"/>
    <x v="1"/>
    <x v="10"/>
    <x v="0"/>
    <x v="2"/>
    <n v="3"/>
    <n v="25"/>
    <n v="75"/>
    <n v="1.125"/>
  </r>
  <r>
    <n v="978"/>
    <n v="22"/>
    <n v="3"/>
    <n v="2023"/>
    <d v="2023-03-22T00:00:00"/>
    <s v="CUST978"/>
    <x v="1"/>
    <x v="45"/>
    <x v="2"/>
    <x v="1"/>
    <n v="3"/>
    <n v="50"/>
    <n v="150"/>
    <n v="2.25"/>
  </r>
  <r>
    <n v="979"/>
    <n v="2"/>
    <n v="1"/>
    <n v="2023"/>
    <d v="2023-01-02T00:00:00"/>
    <s v="CUST979"/>
    <x v="1"/>
    <x v="14"/>
    <x v="1"/>
    <x v="0"/>
    <n v="1"/>
    <n v="25"/>
    <n v="25"/>
    <n v="0.375"/>
  </r>
  <r>
    <n v="980"/>
    <n v="29"/>
    <n v="7"/>
    <n v="2023"/>
    <d v="2023-07-29T00:00:00"/>
    <s v="CUST980"/>
    <x v="1"/>
    <x v="33"/>
    <x v="0"/>
    <x v="2"/>
    <n v="3"/>
    <n v="25"/>
    <n v="75"/>
    <n v="1.125"/>
  </r>
  <r>
    <n v="981"/>
    <n v="19"/>
    <n v="8"/>
    <n v="2023"/>
    <d v="2023-08-19T00:00:00"/>
    <s v="CUST981"/>
    <x v="1"/>
    <x v="4"/>
    <x v="0"/>
    <x v="2"/>
    <n v="2"/>
    <n v="30"/>
    <n v="60"/>
    <n v="0.89999999999999991"/>
  </r>
  <r>
    <n v="982"/>
    <n v="19"/>
    <n v="12"/>
    <n v="2023"/>
    <d v="2023-12-19T00:00:00"/>
    <s v="CUST982"/>
    <x v="1"/>
    <x v="6"/>
    <x v="0"/>
    <x v="0"/>
    <n v="3"/>
    <n v="30"/>
    <n v="90"/>
    <n v="1.3499999999999999"/>
  </r>
  <r>
    <n v="983"/>
    <n v="1"/>
    <n v="11"/>
    <n v="2023"/>
    <d v="2023-11-01T00:00:00"/>
    <s v="CUST983"/>
    <x v="1"/>
    <x v="38"/>
    <x v="1"/>
    <x v="1"/>
    <n v="1"/>
    <n v="300"/>
    <n v="300"/>
    <n v="4.5"/>
  </r>
  <r>
    <n v="984"/>
    <n v="29"/>
    <n v="8"/>
    <n v="2023"/>
    <d v="2023-08-29T00:00:00"/>
    <s v="CUST984"/>
    <x v="0"/>
    <x v="37"/>
    <x v="2"/>
    <x v="1"/>
    <n v="1"/>
    <n v="500"/>
    <n v="500"/>
    <n v="7.5"/>
  </r>
  <r>
    <n v="985"/>
    <n v="30"/>
    <n v="5"/>
    <n v="2023"/>
    <d v="2023-05-30T00:00:00"/>
    <s v="CUST985"/>
    <x v="1"/>
    <x v="14"/>
    <x v="1"/>
    <x v="2"/>
    <n v="2"/>
    <n v="25"/>
    <n v="50"/>
    <n v="0.75"/>
  </r>
  <r>
    <n v="986"/>
    <n v="17"/>
    <n v="1"/>
    <n v="2023"/>
    <d v="2023-01-17T00:00:00"/>
    <s v="CUST986"/>
    <x v="1"/>
    <x v="19"/>
    <x v="0"/>
    <x v="1"/>
    <n v="2"/>
    <n v="500"/>
    <n v="1000"/>
    <n v="15"/>
  </r>
  <r>
    <n v="987"/>
    <n v="29"/>
    <n v="4"/>
    <n v="2023"/>
    <d v="2023-04-29T00:00:00"/>
    <s v="CUST987"/>
    <x v="1"/>
    <x v="4"/>
    <x v="0"/>
    <x v="1"/>
    <n v="3"/>
    <n v="300"/>
    <n v="900"/>
    <n v="13.5"/>
  </r>
  <r>
    <n v="988"/>
    <n v="28"/>
    <n v="5"/>
    <n v="2023"/>
    <d v="2023-05-28T00:00:00"/>
    <s v="CUST988"/>
    <x v="1"/>
    <x v="7"/>
    <x v="2"/>
    <x v="1"/>
    <n v="3"/>
    <n v="25"/>
    <n v="75"/>
    <n v="1.125"/>
  </r>
  <r>
    <n v="989"/>
    <n v="28"/>
    <n v="12"/>
    <n v="2023"/>
    <d v="2023-12-28T00:00:00"/>
    <s v="CUST989"/>
    <x v="1"/>
    <x v="24"/>
    <x v="0"/>
    <x v="2"/>
    <n v="1"/>
    <n v="25"/>
    <n v="25"/>
    <n v="0.375"/>
  </r>
  <r>
    <n v="990"/>
    <n v="25"/>
    <n v="5"/>
    <n v="2023"/>
    <d v="2023-05-25T00:00:00"/>
    <s v="CUST990"/>
    <x v="1"/>
    <x v="26"/>
    <x v="2"/>
    <x v="0"/>
    <n v="2"/>
    <n v="500"/>
    <n v="1000"/>
    <n v="15"/>
  </r>
  <r>
    <n v="991"/>
    <n v="26"/>
    <n v="12"/>
    <n v="2023"/>
    <d v="2023-12-26T00:00:00"/>
    <s v="CUST991"/>
    <x v="1"/>
    <x v="0"/>
    <x v="0"/>
    <x v="1"/>
    <n v="2"/>
    <n v="50"/>
    <n v="100"/>
    <n v="1.5"/>
  </r>
  <r>
    <n v="992"/>
    <n v="21"/>
    <n v="8"/>
    <n v="2023"/>
    <d v="2023-08-21T00:00:00"/>
    <s v="CUST992"/>
    <x v="1"/>
    <x v="35"/>
    <x v="2"/>
    <x v="2"/>
    <n v="2"/>
    <n v="30"/>
    <n v="60"/>
    <n v="0.89999999999999991"/>
  </r>
  <r>
    <n v="993"/>
    <n v="6"/>
    <n v="2"/>
    <n v="2023"/>
    <d v="2023-02-06T00:00:00"/>
    <s v="CUST993"/>
    <x v="1"/>
    <x v="27"/>
    <x v="0"/>
    <x v="2"/>
    <n v="3"/>
    <n v="50"/>
    <n v="150"/>
    <n v="2.25"/>
  </r>
  <r>
    <n v="994"/>
    <n v="18"/>
    <n v="12"/>
    <n v="2023"/>
    <d v="2023-12-18T00:00:00"/>
    <s v="CUST994"/>
    <x v="1"/>
    <x v="25"/>
    <x v="2"/>
    <x v="0"/>
    <n v="2"/>
    <n v="500"/>
    <n v="1000"/>
    <n v="15"/>
  </r>
  <r>
    <n v="995"/>
    <n v="30"/>
    <n v="4"/>
    <n v="2023"/>
    <d v="2023-04-30T00:00:00"/>
    <s v="CUST995"/>
    <x v="1"/>
    <x v="41"/>
    <x v="0"/>
    <x v="1"/>
    <n v="1"/>
    <n v="30"/>
    <n v="30"/>
    <n v="0.44999999999999996"/>
  </r>
  <r>
    <n v="996"/>
    <n v="16"/>
    <n v="5"/>
    <n v="2023"/>
    <d v="2023-05-16T00:00:00"/>
    <s v="CUST996"/>
    <x v="0"/>
    <x v="17"/>
    <x v="2"/>
    <x v="1"/>
    <n v="1"/>
    <n v="50"/>
    <n v="50"/>
    <n v="0.75"/>
  </r>
  <r>
    <n v="997"/>
    <n v="17"/>
    <n v="11"/>
    <n v="2023"/>
    <d v="2023-11-17T00:00:00"/>
    <s v="CUST997"/>
    <x v="0"/>
    <x v="8"/>
    <x v="2"/>
    <x v="0"/>
    <n v="3"/>
    <n v="30"/>
    <n v="90"/>
    <n v="1.3499999999999999"/>
  </r>
  <r>
    <n v="998"/>
    <n v="29"/>
    <n v="10"/>
    <n v="2023"/>
    <d v="2023-10-29T00:00:00"/>
    <s v="CUST998"/>
    <x v="1"/>
    <x v="9"/>
    <x v="1"/>
    <x v="0"/>
    <n v="4"/>
    <n v="25"/>
    <n v="100"/>
    <n v="1.5"/>
  </r>
  <r>
    <n v="999"/>
    <n v="5"/>
    <n v="12"/>
    <n v="2023"/>
    <d v="2023-12-05T00:00:00"/>
    <s v="CUST999"/>
    <x v="1"/>
    <x v="32"/>
    <x v="0"/>
    <x v="2"/>
    <n v="3"/>
    <n v="50"/>
    <n v="150"/>
    <n v="2.25"/>
  </r>
  <r>
    <n v="1000"/>
    <n v="12"/>
    <n v="4"/>
    <n v="2023"/>
    <d v="2023-04-12T00:00:00"/>
    <s v="CUST1000"/>
    <x v="0"/>
    <x v="16"/>
    <x v="0"/>
    <x v="2"/>
    <n v="4"/>
    <n v="30"/>
    <n v="120"/>
    <n v="1.79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59208-B6E5-4406-9B26-7BE1C61E9E35}" name="PivotTable1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B6" firstHeaderRow="1" firstDataRow="1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99DE8-59C0-417E-B049-6313A531592D}" name="PivotTable2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D7" firstHeaderRow="1" firstDataRow="2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Sales" fld="12" showDataAs="percentOfTotal" baseField="0" baseItem="0" numFmtId="10"/>
  </dataFields>
  <chartFormats count="1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2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0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1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9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50231-B9AD-42D5-90B1-31C6D3E22703}" name="PivotTable3" cacheId="1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:K8" firstHeaderRow="1" firstDataRow="3" firstDataCol="1"/>
  <pivotFields count="1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Col" compact="0" outline="0" showAll="0">
      <items count="4">
        <item x="1"/>
        <item x="0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numFmtId="164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2">
    <field x="8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Sales" fld="12" baseField="0" baseItem="0"/>
  </dataFields>
  <formats count="15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8" type="button" dataOnly="0" labelOnly="1" outline="0" axis="axisCol" fieldPosition="0"/>
    </format>
    <format dxfId="4">
      <pivotArea field="6" type="button" dataOnly="0" labelOnly="1" outline="0" axis="axisCol" fieldPosition="1"/>
    </format>
    <format dxfId="5">
      <pivotArea type="topRight" dataOnly="0" labelOnly="1" outline="0" fieldPosition="0"/>
    </format>
    <format dxfId="6">
      <pivotArea field="9" type="button" dataOnly="0" labelOnly="1" outline="0" axis="axisRow" fieldPosition="0"/>
    </format>
    <format dxfId="7">
      <pivotArea dataOnly="0" labelOnly="1" outline="0" fieldPosition="0">
        <references count="1">
          <reference field="9" count="0"/>
        </references>
      </pivotArea>
    </format>
    <format dxfId="8">
      <pivotArea dataOnly="0" labelOnly="1" grandRow="1" outline="0" fieldPosition="0"/>
    </format>
    <format dxfId="9">
      <pivotArea dataOnly="0" labelOnly="1" outline="0" fieldPosition="0">
        <references count="1">
          <reference field="8" count="0"/>
        </references>
      </pivotArea>
    </format>
    <format dxfId="10">
      <pivotArea dataOnly="0" labelOnly="1" outline="0" fieldPosition="0">
        <references count="1">
          <reference field="8" count="0" defaultSubtotal="1"/>
        </references>
      </pivotArea>
    </format>
    <format dxfId="11">
      <pivotArea dataOnly="0" labelOnly="1" grandCol="1" outline="0" fieldPosition="0"/>
    </format>
    <format dxfId="12">
      <pivotArea dataOnly="0" labelOnly="1" outline="0" fieldPosition="0">
        <references count="2">
          <reference field="6" count="0"/>
          <reference field="8" count="1" selected="0">
            <x v="0"/>
          </reference>
        </references>
      </pivotArea>
    </format>
    <format dxfId="13">
      <pivotArea dataOnly="0" labelOnly="1" outline="0" fieldPosition="0">
        <references count="2">
          <reference field="6" count="0"/>
          <reference field="8" count="1" selected="0">
            <x v="1"/>
          </reference>
        </references>
      </pivotArea>
    </format>
    <format dxfId="14">
      <pivotArea dataOnly="0" labelOnly="1" outline="0" fieldPosition="0">
        <references count="2">
          <reference field="6" count="0"/>
          <reference field="8" count="1" selected="0">
            <x v="2"/>
          </reference>
        </references>
      </pivotArea>
    </format>
  </format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4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chartFormat>
    <chartFormat chart="1" format="4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1"/>
          </reference>
        </references>
      </pivotArea>
    </chartFormat>
    <chartFormat chart="1" format="5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1"/>
          </reference>
        </references>
      </pivotArea>
    </chartFormat>
    <chartFormat chart="1" format="5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8" count="1" selected="0">
            <x v="2"/>
          </reference>
        </references>
      </pivotArea>
    </chartFormat>
    <chartFormat chart="1" format="5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8E75B8D5-48ED-4303-BE4B-C90730F9B752}" sourceName="Gender">
  <pivotTables>
    <pivotTable tabId="5" name="PivotTable3"/>
  </pivotTables>
  <data>
    <tabular pivotCacheId="408835086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eration" xr10:uid="{215F8EB6-6078-466D-AD6D-39EDF5672A17}" sourceName="Generation">
  <pivotTables>
    <pivotTable tabId="5" name="PivotTable3"/>
  </pivotTables>
  <data>
    <tabular pivotCacheId="408835086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F22EF6F9-A08B-42C5-9655-4C385E110FD6}" sourceName="Product Category">
  <pivotTables>
    <pivotTable tabId="5" name="PivotTable3"/>
  </pivotTables>
  <data>
    <tabular pivotCacheId="408835086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FBC03EFE-FF86-455A-B645-CA4DE04A0890}" cache="Slicer_Gender" caption="Gender" rowHeight="228600"/>
  <slicer name="Generation" xr10:uid="{2AC2FBD4-BE74-4243-906E-F1A6855B3AA0}" cache="Slicer_Generation" caption="Generation" rowHeight="228600"/>
  <slicer name="Product Category" xr10:uid="{42AC5854-0823-4282-B953-7391020418A9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zoomScaleNormal="100" workbookViewId="0">
      <selection activeCell="B12" sqref="B12"/>
    </sheetView>
  </sheetViews>
  <sheetFormatPr defaultColWidth="11.25" defaultRowHeight="15.75"/>
  <cols>
    <col min="1" max="4" width="14.75" customWidth="1"/>
    <col min="5" max="5" width="13.375" style="18" bestFit="1" customWidth="1"/>
    <col min="6" max="6" width="13" customWidth="1"/>
    <col min="8" max="8" width="8.75" customWidth="1"/>
    <col min="9" max="9" width="16" customWidth="1"/>
    <col min="10" max="10" width="17.125" customWidth="1"/>
    <col min="12" max="12" width="14.125" customWidth="1"/>
    <col min="14" max="14" width="15" style="15" bestFit="1" customWidth="1"/>
    <col min="16" max="16" width="18.625" bestFit="1" customWidth="1"/>
    <col min="17" max="17" width="9.625" bestFit="1" customWidth="1"/>
    <col min="20" max="20" width="12.25" bestFit="1" customWidth="1"/>
  </cols>
  <sheetData>
    <row r="1" spans="1:20">
      <c r="A1" s="9" t="s">
        <v>0</v>
      </c>
      <c r="B1" s="10" t="s">
        <v>1</v>
      </c>
      <c r="C1" s="10" t="s">
        <v>2</v>
      </c>
      <c r="D1" s="10" t="s">
        <v>3</v>
      </c>
      <c r="E1" s="16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  <c r="M1" s="11" t="s">
        <v>12</v>
      </c>
      <c r="N1" s="13" t="s">
        <v>13</v>
      </c>
      <c r="O1" s="11"/>
    </row>
    <row r="2" spans="1:20">
      <c r="A2" s="2">
        <v>1</v>
      </c>
      <c r="B2" s="4">
        <f>VLOOKUP(A2,retail_sales_dataset!$1:$1048576, 13, )</f>
        <v>150</v>
      </c>
      <c r="C2" s="4">
        <f>MONTH(E2)</f>
        <v>11</v>
      </c>
      <c r="D2" s="4">
        <f>YEAR(E2)</f>
        <v>2023</v>
      </c>
      <c r="E2" s="3">
        <v>45254</v>
      </c>
      <c r="F2" s="4" t="s">
        <v>14</v>
      </c>
      <c r="G2" s="4" t="s">
        <v>15</v>
      </c>
      <c r="H2" s="4">
        <v>34</v>
      </c>
      <c r="I2" s="4" t="str" cm="1">
        <f t="array" ref="I2">_xlfn.IFS(
  H2&lt;30,"Young Adult",
  H2&lt;50,"Adult",
  H2&gt;=50,"Senior"
)</f>
        <v>Adult</v>
      </c>
      <c r="J2" s="4" t="s">
        <v>16</v>
      </c>
      <c r="K2" s="4">
        <v>3</v>
      </c>
      <c r="L2" s="5">
        <v>50</v>
      </c>
      <c r="M2" s="5">
        <f xml:space="preserve"> K2*L2</f>
        <v>150</v>
      </c>
      <c r="N2" s="14">
        <f xml:space="preserve"> M2 * $Q$3</f>
        <v>2.25</v>
      </c>
      <c r="O2" s="5"/>
      <c r="Q2" t="s">
        <v>17</v>
      </c>
    </row>
    <row r="3" spans="1:20">
      <c r="A3" s="2">
        <v>2</v>
      </c>
      <c r="B3" s="4">
        <f>DAY(E3)</f>
        <v>27</v>
      </c>
      <c r="C3" s="4">
        <f>MONTH(E3)</f>
        <v>2</v>
      </c>
      <c r="D3" s="4">
        <f>YEAR(E3)</f>
        <v>2023</v>
      </c>
      <c r="E3" s="3">
        <v>44984</v>
      </c>
      <c r="F3" s="4" t="s">
        <v>18</v>
      </c>
      <c r="G3" s="4" t="s">
        <v>19</v>
      </c>
      <c r="H3" s="4">
        <v>26</v>
      </c>
      <c r="I3" s="4" t="str" cm="1">
        <f t="array" ref="I3">_xlfn.IFS(
  H3&lt;30,"Young Adult",
  H3&lt;50,"Adult",
  H3&gt;=50,"Senior"
)</f>
        <v>Young Adult</v>
      </c>
      <c r="J3" s="4" t="s">
        <v>20</v>
      </c>
      <c r="K3" s="4">
        <v>2</v>
      </c>
      <c r="L3" s="5">
        <v>500</v>
      </c>
      <c r="M3" s="5">
        <f xml:space="preserve"> K3*L3</f>
        <v>1000</v>
      </c>
      <c r="N3" s="14">
        <f xml:space="preserve"> M3 * $Q$3</f>
        <v>15</v>
      </c>
      <c r="O3" s="5"/>
      <c r="P3" t="s">
        <v>21</v>
      </c>
      <c r="Q3" s="12">
        <v>1.4999999999999999E-2</v>
      </c>
    </row>
    <row r="4" spans="1:20">
      <c r="A4" s="2">
        <v>3</v>
      </c>
      <c r="B4" s="4">
        <f>DAY(E4)</f>
        <v>13</v>
      </c>
      <c r="C4" s="4">
        <f>MONTH(E4)</f>
        <v>1</v>
      </c>
      <c r="D4" s="4">
        <f>YEAR(E4)</f>
        <v>2023</v>
      </c>
      <c r="E4" s="3">
        <v>44939</v>
      </c>
      <c r="F4" s="4" t="s">
        <v>22</v>
      </c>
      <c r="G4" s="4" t="s">
        <v>15</v>
      </c>
      <c r="H4" s="4">
        <v>50</v>
      </c>
      <c r="I4" s="4" t="str" cm="1">
        <f t="array" ref="I4">_xlfn.IFS(
  H4&lt;30,"Young Adult",
  H4&lt;50,"Adult",
  H4&gt;=50,"Senior"
)</f>
        <v>Senior</v>
      </c>
      <c r="J4" s="4" t="s">
        <v>23</v>
      </c>
      <c r="K4" s="4">
        <v>1</v>
      </c>
      <c r="L4" s="5">
        <v>30</v>
      </c>
      <c r="M4" s="5">
        <f xml:space="preserve"> K4*L4</f>
        <v>30</v>
      </c>
      <c r="N4" s="14">
        <f xml:space="preserve"> M4 * $Q$3</f>
        <v>0.44999999999999996</v>
      </c>
      <c r="O4" s="5"/>
    </row>
    <row r="5" spans="1:20">
      <c r="A5" s="2">
        <v>4</v>
      </c>
      <c r="B5" s="4">
        <f>DAY(E5)</f>
        <v>21</v>
      </c>
      <c r="C5" s="4">
        <f>MONTH(E5)</f>
        <v>5</v>
      </c>
      <c r="D5" s="4">
        <f>YEAR(E5)</f>
        <v>2023</v>
      </c>
      <c r="E5" s="17">
        <v>45067</v>
      </c>
      <c r="F5" s="4" t="s">
        <v>24</v>
      </c>
      <c r="G5" s="4" t="s">
        <v>15</v>
      </c>
      <c r="H5" s="4">
        <v>37</v>
      </c>
      <c r="I5" s="4" t="str" cm="1">
        <f t="array" ref="I5">_xlfn.IFS(
  H5&lt;30,"Young Adult",
  H5&lt;50,"Adult",
  H5&gt;=50,"Senior"
)</f>
        <v>Adult</v>
      </c>
      <c r="J5" s="4" t="s">
        <v>20</v>
      </c>
      <c r="K5" s="4">
        <v>1</v>
      </c>
      <c r="L5" s="5">
        <v>500</v>
      </c>
      <c r="M5" s="5">
        <f xml:space="preserve"> K5*L5</f>
        <v>500</v>
      </c>
      <c r="N5" s="14">
        <f xml:space="preserve"> M5 * $Q$3</f>
        <v>7.5</v>
      </c>
      <c r="O5" s="5"/>
    </row>
    <row r="6" spans="1:20">
      <c r="A6" s="2">
        <v>5</v>
      </c>
      <c r="B6" s="4">
        <f>DAY(E6)</f>
        <v>6</v>
      </c>
      <c r="C6" s="4">
        <f>MONTH(E6)</f>
        <v>5</v>
      </c>
      <c r="D6" s="4">
        <f>YEAR(E6)</f>
        <v>2023</v>
      </c>
      <c r="E6" s="17">
        <v>45052</v>
      </c>
      <c r="F6" s="4" t="s">
        <v>25</v>
      </c>
      <c r="G6" s="4" t="s">
        <v>15</v>
      </c>
      <c r="H6" s="4">
        <v>30</v>
      </c>
      <c r="I6" s="4" t="str" cm="1">
        <f t="array" ref="I6">_xlfn.IFS(
  H6&lt;30,"Young Adult",
  H6&lt;50,"Adult",
  H6&gt;=50,"Senior"
)</f>
        <v>Adult</v>
      </c>
      <c r="J6" s="4" t="s">
        <v>16</v>
      </c>
      <c r="K6" s="4">
        <v>2</v>
      </c>
      <c r="L6" s="5">
        <v>50</v>
      </c>
      <c r="M6" s="5">
        <f xml:space="preserve"> K6*L6</f>
        <v>100</v>
      </c>
      <c r="N6" s="14">
        <f xml:space="preserve"> M6 * $Q$3</f>
        <v>1.5</v>
      </c>
      <c r="O6" s="5"/>
    </row>
    <row r="7" spans="1:20">
      <c r="A7" s="2">
        <v>6</v>
      </c>
      <c r="B7" s="4">
        <f>DAY(E7)</f>
        <v>25</v>
      </c>
      <c r="C7" s="4">
        <f>MONTH(E7)</f>
        <v>4</v>
      </c>
      <c r="D7" s="4">
        <f>YEAR(E7)</f>
        <v>2023</v>
      </c>
      <c r="E7" s="17">
        <v>45041</v>
      </c>
      <c r="F7" s="4" t="s">
        <v>26</v>
      </c>
      <c r="G7" s="4" t="s">
        <v>19</v>
      </c>
      <c r="H7" s="4">
        <v>45</v>
      </c>
      <c r="I7" s="4" t="str" cm="1">
        <f t="array" ref="I7">_xlfn.IFS(
  H7&lt;30,"Young Adult",
  H7&lt;50,"Adult",
  H7&gt;=50,"Senior"
)</f>
        <v>Adult</v>
      </c>
      <c r="J7" s="4" t="s">
        <v>16</v>
      </c>
      <c r="K7" s="4">
        <v>1</v>
      </c>
      <c r="L7" s="5">
        <v>30</v>
      </c>
      <c r="M7" s="5">
        <f xml:space="preserve"> K7*L7</f>
        <v>30</v>
      </c>
      <c r="N7" s="14">
        <f xml:space="preserve"> M7 * $Q$3</f>
        <v>0.44999999999999996</v>
      </c>
      <c r="O7" s="5"/>
    </row>
    <row r="8" spans="1:20">
      <c r="A8" s="2">
        <v>7</v>
      </c>
      <c r="B8" s="4">
        <f>DAY(E8)</f>
        <v>13</v>
      </c>
      <c r="C8" s="4">
        <f>MONTH(E8)</f>
        <v>3</v>
      </c>
      <c r="D8" s="4">
        <f>YEAR(E8)</f>
        <v>2023</v>
      </c>
      <c r="E8" s="17">
        <v>44998</v>
      </c>
      <c r="F8" s="4" t="s">
        <v>27</v>
      </c>
      <c r="G8" s="4" t="s">
        <v>15</v>
      </c>
      <c r="H8" s="4">
        <v>46</v>
      </c>
      <c r="I8" s="4" t="str" cm="1">
        <f t="array" ref="I8">_xlfn.IFS(
  H8&lt;30,"Young Adult",
  H8&lt;50,"Adult",
  H8&gt;=50,"Senior"
)</f>
        <v>Adult</v>
      </c>
      <c r="J8" s="4" t="s">
        <v>20</v>
      </c>
      <c r="K8" s="4">
        <v>2</v>
      </c>
      <c r="L8" s="5">
        <v>25</v>
      </c>
      <c r="M8" s="5">
        <f xml:space="preserve"> K8*L8</f>
        <v>50</v>
      </c>
      <c r="N8" s="14">
        <f xml:space="preserve"> M8 * $Q$3</f>
        <v>0.75</v>
      </c>
      <c r="O8" s="5"/>
      <c r="Q8" t="s">
        <v>28</v>
      </c>
      <c r="R8" s="24" t="s">
        <v>10</v>
      </c>
      <c r="S8" s="24"/>
      <c r="T8" t="s">
        <v>29</v>
      </c>
    </row>
    <row r="9" spans="1:20">
      <c r="A9" s="2">
        <v>8</v>
      </c>
      <c r="B9" s="4">
        <f>DAY(E9)</f>
        <v>22</v>
      </c>
      <c r="C9" s="4">
        <f>MONTH(E9)</f>
        <v>2</v>
      </c>
      <c r="D9" s="4">
        <f>YEAR(E9)</f>
        <v>2023</v>
      </c>
      <c r="E9" s="3">
        <v>44979</v>
      </c>
      <c r="F9" s="4" t="s">
        <v>30</v>
      </c>
      <c r="G9" s="4" t="s">
        <v>15</v>
      </c>
      <c r="H9" s="4">
        <v>30</v>
      </c>
      <c r="I9" s="4" t="str" cm="1">
        <f t="array" ref="I9">_xlfn.IFS(
  H9&lt;30,"Young Adult",
  H9&lt;50,"Adult",
  H9&gt;=50,"Senior"
)</f>
        <v>Adult</v>
      </c>
      <c r="J9" s="4" t="s">
        <v>23</v>
      </c>
      <c r="K9" s="4">
        <v>4</v>
      </c>
      <c r="L9" s="5">
        <v>25</v>
      </c>
      <c r="M9" s="5">
        <f xml:space="preserve"> K9*L9</f>
        <v>100</v>
      </c>
      <c r="N9" s="14">
        <f xml:space="preserve"> M9 * $Q$3</f>
        <v>1.5</v>
      </c>
      <c r="O9" s="5"/>
      <c r="P9" t="s">
        <v>31</v>
      </c>
      <c r="Q9">
        <f>SUM(M:M)</f>
        <v>456000</v>
      </c>
      <c r="R9" s="21" t="s">
        <v>19</v>
      </c>
      <c r="S9" s="21" t="s">
        <v>15</v>
      </c>
      <c r="T9">
        <f>AVERAGE(M:M)</f>
        <v>456</v>
      </c>
    </row>
    <row r="10" spans="1:20">
      <c r="A10" s="2">
        <v>9</v>
      </c>
      <c r="B10" s="4">
        <f>DAY(E10)</f>
        <v>13</v>
      </c>
      <c r="C10" s="4">
        <f>MONTH(E10)</f>
        <v>12</v>
      </c>
      <c r="D10" s="4">
        <f>YEAR(E10)</f>
        <v>2023</v>
      </c>
      <c r="E10" s="3">
        <v>45273</v>
      </c>
      <c r="F10" s="4" t="s">
        <v>32</v>
      </c>
      <c r="G10" s="4" t="s">
        <v>15</v>
      </c>
      <c r="H10" s="4">
        <v>63</v>
      </c>
      <c r="I10" s="4" t="str" cm="1">
        <f t="array" ref="I10">_xlfn.IFS(
  H10&lt;30,"Young Adult",
  H10&lt;50,"Adult",
  H10&gt;=50,"Senior"
)</f>
        <v>Senior</v>
      </c>
      <c r="J10" s="4" t="s">
        <v>23</v>
      </c>
      <c r="K10" s="4">
        <v>2</v>
      </c>
      <c r="L10" s="5">
        <v>300</v>
      </c>
      <c r="M10" s="5">
        <f xml:space="preserve"> K10*L10</f>
        <v>600</v>
      </c>
      <c r="N10" s="14">
        <f xml:space="preserve"> M10 * $Q$3</f>
        <v>9</v>
      </c>
      <c r="O10" s="5"/>
      <c r="P10" s="20" t="s">
        <v>20</v>
      </c>
      <c r="Q10">
        <f>SUMIF(J:J, P10, M:M)</f>
        <v>155580</v>
      </c>
      <c r="R10">
        <f>SUMIFS(K:K, G:G, "Female", J:J, "Clothing")</f>
        <v>441</v>
      </c>
      <c r="S10">
        <f>SUMIFS(K:K, G:G, $S$9, J:J, P10)</f>
        <v>453</v>
      </c>
      <c r="T10" s="22">
        <f>AVERAGEIF(J:J,P10,M:M)</f>
        <v>443.24786324786322</v>
      </c>
    </row>
    <row r="11" spans="1:20">
      <c r="A11" s="2">
        <v>10</v>
      </c>
      <c r="B11" s="4">
        <f>DAY(E11)</f>
        <v>7</v>
      </c>
      <c r="C11" s="4">
        <f>MONTH(E11)</f>
        <v>10</v>
      </c>
      <c r="D11" s="4">
        <f>YEAR(E11)</f>
        <v>2023</v>
      </c>
      <c r="E11" s="3">
        <v>45206</v>
      </c>
      <c r="F11" s="4" t="s">
        <v>33</v>
      </c>
      <c r="G11" s="4" t="s">
        <v>19</v>
      </c>
      <c r="H11" s="4">
        <v>52</v>
      </c>
      <c r="I11" s="4" t="str" cm="1">
        <f t="array" ref="I11">_xlfn.IFS(
  H11&lt;30,"Young Adult",
  H11&lt;50,"Adult",
  H11&gt;=50,"Senior"
)</f>
        <v>Senior</v>
      </c>
      <c r="J11" s="4" t="s">
        <v>20</v>
      </c>
      <c r="K11" s="4">
        <v>4</v>
      </c>
      <c r="L11" s="5">
        <v>50</v>
      </c>
      <c r="M11" s="5">
        <f xml:space="preserve"> K11*L11</f>
        <v>200</v>
      </c>
      <c r="N11" s="14">
        <f xml:space="preserve"> M11 * $Q$3</f>
        <v>3</v>
      </c>
      <c r="O11" s="5"/>
      <c r="P11" s="20" t="s">
        <v>23</v>
      </c>
      <c r="Q11">
        <f>SUMIF(J:J, "Electronics", M:M)</f>
        <v>156905</v>
      </c>
      <c r="R11">
        <f>SUMIFS(K:K, G:G, "Female", J:J, "Electronics")</f>
        <v>439</v>
      </c>
      <c r="S11">
        <f>SUMIFS(K:K, G:G, $S$9, J:J, P11)</f>
        <v>410</v>
      </c>
      <c r="T11" s="22">
        <f t="shared" ref="T11:T12" si="0">AVERAGEIF(J:J,P11,M:M)</f>
        <v>458.78654970760232</v>
      </c>
    </row>
    <row r="12" spans="1:20">
      <c r="A12" s="2">
        <v>11</v>
      </c>
      <c r="B12" s="4">
        <f>DAY(E12)</f>
        <v>14</v>
      </c>
      <c r="C12" s="4">
        <f>MONTH(E12)</f>
        <v>2</v>
      </c>
      <c r="D12" s="4">
        <f>YEAR(E12)</f>
        <v>2023</v>
      </c>
      <c r="E12" s="3">
        <v>44971</v>
      </c>
      <c r="F12" s="4" t="s">
        <v>34</v>
      </c>
      <c r="G12" s="4" t="s">
        <v>15</v>
      </c>
      <c r="H12" s="4">
        <v>23</v>
      </c>
      <c r="I12" s="4" t="str" cm="1">
        <f t="array" ref="I12">_xlfn.IFS(
  H12&lt;30,"Young Adult",
  H12&lt;50,"Adult",
  H12&gt;=50,"Senior"
)</f>
        <v>Young Adult</v>
      </c>
      <c r="J12" s="4" t="s">
        <v>20</v>
      </c>
      <c r="K12" s="4">
        <v>2</v>
      </c>
      <c r="L12" s="5">
        <v>50</v>
      </c>
      <c r="M12" s="5">
        <f xml:space="preserve"> K12*L12</f>
        <v>100</v>
      </c>
      <c r="N12" s="14">
        <f xml:space="preserve"> M12 * $Q$3</f>
        <v>1.5</v>
      </c>
      <c r="O12" s="5"/>
      <c r="P12" s="20" t="s">
        <v>16</v>
      </c>
      <c r="Q12">
        <f>SUMIF(J:J,J2, M:M)</f>
        <v>143515</v>
      </c>
      <c r="R12">
        <f>SUMIFS(K:K, J:J, "Beauty", G:G, "Female")</f>
        <v>418</v>
      </c>
      <c r="S12">
        <f>SUMIFS(K:K, G:G, $S$9, J:J, P12)</f>
        <v>353</v>
      </c>
      <c r="T12" s="22">
        <f t="shared" si="0"/>
        <v>467.47557003257327</v>
      </c>
    </row>
    <row r="13" spans="1:20">
      <c r="A13" s="2">
        <v>12</v>
      </c>
      <c r="B13" s="4">
        <f>DAY(E13)</f>
        <v>30</v>
      </c>
      <c r="C13" s="4">
        <f>MONTH(E13)</f>
        <v>10</v>
      </c>
      <c r="D13" s="4">
        <f>YEAR(E13)</f>
        <v>2023</v>
      </c>
      <c r="E13" s="3">
        <v>45229</v>
      </c>
      <c r="F13" s="4" t="s">
        <v>35</v>
      </c>
      <c r="G13" s="4" t="s">
        <v>15</v>
      </c>
      <c r="H13" s="4">
        <v>35</v>
      </c>
      <c r="I13" s="4" t="str" cm="1">
        <f t="array" ref="I13">_xlfn.IFS(
  H13&lt;30,"Young Adult",
  H13&lt;50,"Adult",
  H13&gt;=50,"Senior"
)</f>
        <v>Adult</v>
      </c>
      <c r="J13" s="4" t="s">
        <v>16</v>
      </c>
      <c r="K13" s="4">
        <v>3</v>
      </c>
      <c r="L13" s="5">
        <v>25</v>
      </c>
      <c r="M13" s="5">
        <f xml:space="preserve"> K13*L13</f>
        <v>75</v>
      </c>
      <c r="N13" s="14">
        <f xml:space="preserve"> M13 * $Q$3</f>
        <v>1.125</v>
      </c>
      <c r="O13" s="5"/>
    </row>
    <row r="14" spans="1:20">
      <c r="A14" s="2">
        <v>13</v>
      </c>
      <c r="B14" s="4">
        <f>DAY(E14)</f>
        <v>5</v>
      </c>
      <c r="C14" s="4">
        <f>MONTH(E14)</f>
        <v>8</v>
      </c>
      <c r="D14" s="4">
        <f>YEAR(E14)</f>
        <v>2023</v>
      </c>
      <c r="E14" s="3">
        <v>45143</v>
      </c>
      <c r="F14" s="4" t="s">
        <v>36</v>
      </c>
      <c r="G14" s="4" t="s">
        <v>15</v>
      </c>
      <c r="H14" s="4">
        <v>22</v>
      </c>
      <c r="I14" s="4" t="str" cm="1">
        <f t="array" ref="I14">_xlfn.IFS(
  H14&lt;30,"Young Adult",
  H14&lt;50,"Adult",
  H14&gt;=50,"Senior"
)</f>
        <v>Young Adult</v>
      </c>
      <c r="J14" s="4" t="s">
        <v>23</v>
      </c>
      <c r="K14" s="4">
        <v>3</v>
      </c>
      <c r="L14" s="5">
        <v>500</v>
      </c>
      <c r="M14" s="5">
        <f xml:space="preserve"> K14*L14</f>
        <v>1500</v>
      </c>
      <c r="N14" s="14">
        <f xml:space="preserve"> M14 * $Q$3</f>
        <v>22.5</v>
      </c>
      <c r="O14" s="5"/>
    </row>
    <row r="15" spans="1:20">
      <c r="A15" s="2">
        <v>14</v>
      </c>
      <c r="B15" s="4">
        <f>DAY(E15)</f>
        <v>17</v>
      </c>
      <c r="C15" s="4">
        <f>MONTH(E15)</f>
        <v>1</v>
      </c>
      <c r="D15" s="4">
        <f>YEAR(E15)</f>
        <v>2023</v>
      </c>
      <c r="E15" s="3">
        <v>44943</v>
      </c>
      <c r="F15" s="4" t="s">
        <v>37</v>
      </c>
      <c r="G15" s="4" t="s">
        <v>15</v>
      </c>
      <c r="H15" s="4">
        <v>64</v>
      </c>
      <c r="I15" s="4" t="str" cm="1">
        <f t="array" ref="I15">_xlfn.IFS(
  H15&lt;30,"Young Adult",
  H15&lt;50,"Adult",
  H15&gt;=50,"Senior"
)</f>
        <v>Senior</v>
      </c>
      <c r="J15" s="4" t="s">
        <v>20</v>
      </c>
      <c r="K15" s="4">
        <v>4</v>
      </c>
      <c r="L15" s="5">
        <v>30</v>
      </c>
      <c r="M15" s="5">
        <f xml:space="preserve"> K15*L15</f>
        <v>120</v>
      </c>
      <c r="N15" s="14">
        <f xml:space="preserve"> M15 * $Q$3</f>
        <v>1.7999999999999998</v>
      </c>
      <c r="O15" s="5"/>
    </row>
    <row r="16" spans="1:20">
      <c r="A16" s="2">
        <v>15</v>
      </c>
      <c r="B16" s="4">
        <f>DAY(E16)</f>
        <v>16</v>
      </c>
      <c r="C16" s="4">
        <f>MONTH(E16)</f>
        <v>1</v>
      </c>
      <c r="D16" s="4">
        <f>YEAR(E16)</f>
        <v>2023</v>
      </c>
      <c r="E16" s="3">
        <v>44942</v>
      </c>
      <c r="F16" s="4" t="s">
        <v>38</v>
      </c>
      <c r="G16" s="4" t="s">
        <v>19</v>
      </c>
      <c r="H16" s="4">
        <v>42</v>
      </c>
      <c r="I16" s="4" t="str" cm="1">
        <f t="array" ref="I16">_xlfn.IFS(
  H16&lt;30,"Young Adult",
  H16&lt;50,"Adult",
  H16&gt;=50,"Senior"
)</f>
        <v>Adult</v>
      </c>
      <c r="J16" s="4" t="s">
        <v>23</v>
      </c>
      <c r="K16" s="4">
        <v>4</v>
      </c>
      <c r="L16" s="5">
        <v>500</v>
      </c>
      <c r="M16" s="5">
        <f xml:space="preserve"> K16*L16</f>
        <v>2000</v>
      </c>
      <c r="N16" s="14">
        <f xml:space="preserve"> M16 * $Q$3</f>
        <v>30</v>
      </c>
      <c r="O16" s="5"/>
    </row>
    <row r="17" spans="1:15">
      <c r="A17" s="2">
        <v>16</v>
      </c>
      <c r="B17" s="4">
        <f>DAY(E17)</f>
        <v>17</v>
      </c>
      <c r="C17" s="4">
        <f>MONTH(E17)</f>
        <v>2</v>
      </c>
      <c r="D17" s="4">
        <f>YEAR(E17)</f>
        <v>2023</v>
      </c>
      <c r="E17" s="3">
        <v>44974</v>
      </c>
      <c r="F17" s="4" t="s">
        <v>39</v>
      </c>
      <c r="G17" s="4" t="s">
        <v>15</v>
      </c>
      <c r="H17" s="4">
        <v>19</v>
      </c>
      <c r="I17" s="4" t="str" cm="1">
        <f t="array" ref="I17">_xlfn.IFS(
  H17&lt;30,"Young Adult",
  H17&lt;50,"Adult",
  H17&gt;=50,"Senior"
)</f>
        <v>Young Adult</v>
      </c>
      <c r="J17" s="4" t="s">
        <v>20</v>
      </c>
      <c r="K17" s="4">
        <v>3</v>
      </c>
      <c r="L17" s="5">
        <v>500</v>
      </c>
      <c r="M17" s="5">
        <f xml:space="preserve"> K17*L17</f>
        <v>1500</v>
      </c>
      <c r="N17" s="14">
        <f xml:space="preserve"> M17 * $Q$3</f>
        <v>22.5</v>
      </c>
      <c r="O17" s="5"/>
    </row>
    <row r="18" spans="1:15">
      <c r="A18" s="2">
        <v>17</v>
      </c>
      <c r="B18" s="4">
        <f>DAY(E18)</f>
        <v>22</v>
      </c>
      <c r="C18" s="4">
        <f>MONTH(E18)</f>
        <v>4</v>
      </c>
      <c r="D18" s="4">
        <f>YEAR(E18)</f>
        <v>2023</v>
      </c>
      <c r="E18" s="17">
        <v>45038</v>
      </c>
      <c r="F18" s="4" t="s">
        <v>40</v>
      </c>
      <c r="G18" s="4" t="s">
        <v>19</v>
      </c>
      <c r="H18" s="4">
        <v>27</v>
      </c>
      <c r="I18" s="4" t="str" cm="1">
        <f t="array" ref="I18">_xlfn.IFS(
  H18&lt;30,"Young Adult",
  H18&lt;50,"Adult",
  H18&gt;=50,"Senior"
)</f>
        <v>Young Adult</v>
      </c>
      <c r="J18" s="4" t="s">
        <v>20</v>
      </c>
      <c r="K18" s="4">
        <v>4</v>
      </c>
      <c r="L18" s="5">
        <v>25</v>
      </c>
      <c r="M18" s="5">
        <f xml:space="preserve"> K18*L18</f>
        <v>100</v>
      </c>
      <c r="N18" s="14">
        <f xml:space="preserve"> M18 * $Q$3</f>
        <v>1.5</v>
      </c>
      <c r="O18" s="5"/>
    </row>
    <row r="19" spans="1:15">
      <c r="A19" s="2">
        <v>18</v>
      </c>
      <c r="B19" s="4">
        <f>DAY(E19)</f>
        <v>30</v>
      </c>
      <c r="C19" s="4">
        <f>MONTH(E19)</f>
        <v>4</v>
      </c>
      <c r="D19" s="4">
        <f>YEAR(E19)</f>
        <v>2023</v>
      </c>
      <c r="E19" s="17">
        <v>45046</v>
      </c>
      <c r="F19" s="4" t="s">
        <v>41</v>
      </c>
      <c r="G19" s="4" t="s">
        <v>19</v>
      </c>
      <c r="H19" s="4">
        <v>47</v>
      </c>
      <c r="I19" s="4" t="str" cm="1">
        <f t="array" ref="I19">_xlfn.IFS(
  H19&lt;30,"Young Adult",
  H19&lt;50,"Adult",
  H19&gt;=50,"Senior"
)</f>
        <v>Adult</v>
      </c>
      <c r="J19" s="4" t="s">
        <v>23</v>
      </c>
      <c r="K19" s="4">
        <v>2</v>
      </c>
      <c r="L19" s="5">
        <v>25</v>
      </c>
      <c r="M19" s="5">
        <f xml:space="preserve"> K19*L19</f>
        <v>50</v>
      </c>
      <c r="N19" s="14">
        <f xml:space="preserve"> M19 * $Q$3</f>
        <v>0.75</v>
      </c>
      <c r="O19" s="5"/>
    </row>
    <row r="20" spans="1:15">
      <c r="A20" s="2">
        <v>19</v>
      </c>
      <c r="B20" s="4">
        <f>DAY(E20)</f>
        <v>16</v>
      </c>
      <c r="C20" s="4">
        <f>MONTH(E20)</f>
        <v>9</v>
      </c>
      <c r="D20" s="4">
        <f>YEAR(E20)</f>
        <v>2023</v>
      </c>
      <c r="E20" s="3">
        <v>45185</v>
      </c>
      <c r="F20" s="4" t="s">
        <v>42</v>
      </c>
      <c r="G20" s="4" t="s">
        <v>19</v>
      </c>
      <c r="H20" s="4">
        <v>62</v>
      </c>
      <c r="I20" s="4" t="str" cm="1">
        <f t="array" ref="I20">_xlfn.IFS(
  H20&lt;30,"Young Adult",
  H20&lt;50,"Adult",
  H20&gt;=50,"Senior"
)</f>
        <v>Senior</v>
      </c>
      <c r="J20" s="4" t="s">
        <v>20</v>
      </c>
      <c r="K20" s="4">
        <v>2</v>
      </c>
      <c r="L20" s="5">
        <v>25</v>
      </c>
      <c r="M20" s="5">
        <f xml:space="preserve"> K20*L20</f>
        <v>50</v>
      </c>
      <c r="N20" s="14">
        <f xml:space="preserve"> M20 * $Q$3</f>
        <v>0.75</v>
      </c>
      <c r="O20" s="5"/>
    </row>
    <row r="21" spans="1:15">
      <c r="A21" s="2">
        <v>20</v>
      </c>
      <c r="B21" s="4">
        <f>DAY(E21)</f>
        <v>5</v>
      </c>
      <c r="C21" s="4">
        <f>MONTH(E21)</f>
        <v>11</v>
      </c>
      <c r="D21" s="4">
        <f>YEAR(E21)</f>
        <v>2023</v>
      </c>
      <c r="E21" s="3">
        <v>45235</v>
      </c>
      <c r="F21" s="4" t="s">
        <v>43</v>
      </c>
      <c r="G21" s="4" t="s">
        <v>15</v>
      </c>
      <c r="H21" s="4">
        <v>22</v>
      </c>
      <c r="I21" s="4" t="str" cm="1">
        <f t="array" ref="I21">_xlfn.IFS(
  H21&lt;30,"Young Adult",
  H21&lt;50,"Adult",
  H21&gt;=50,"Senior"
)</f>
        <v>Young Adult</v>
      </c>
      <c r="J21" s="4" t="s">
        <v>20</v>
      </c>
      <c r="K21" s="4">
        <v>3</v>
      </c>
      <c r="L21" s="5">
        <v>300</v>
      </c>
      <c r="M21" s="5">
        <f xml:space="preserve"> K21*L21</f>
        <v>900</v>
      </c>
      <c r="N21" s="14">
        <f xml:space="preserve"> M21 * $Q$3</f>
        <v>13.5</v>
      </c>
      <c r="O21" s="5"/>
    </row>
    <row r="22" spans="1:15">
      <c r="A22" s="2">
        <v>21</v>
      </c>
      <c r="B22" s="4">
        <f>DAY(E22)</f>
        <v>14</v>
      </c>
      <c r="C22" s="4">
        <f>MONTH(E22)</f>
        <v>1</v>
      </c>
      <c r="D22" s="4">
        <f>YEAR(E22)</f>
        <v>2023</v>
      </c>
      <c r="E22" s="3">
        <v>44940</v>
      </c>
      <c r="F22" s="4" t="s">
        <v>44</v>
      </c>
      <c r="G22" s="4" t="s">
        <v>19</v>
      </c>
      <c r="H22" s="4">
        <v>50</v>
      </c>
      <c r="I22" s="4" t="str" cm="1">
        <f t="array" ref="I22">_xlfn.IFS(
  H22&lt;30,"Young Adult",
  H22&lt;50,"Adult",
  H22&gt;=50,"Senior"
)</f>
        <v>Senior</v>
      </c>
      <c r="J22" s="4" t="s">
        <v>16</v>
      </c>
      <c r="K22" s="4">
        <v>1</v>
      </c>
      <c r="L22" s="5">
        <v>500</v>
      </c>
      <c r="M22" s="5">
        <f xml:space="preserve"> K22*L22</f>
        <v>500</v>
      </c>
      <c r="N22" s="14">
        <f xml:space="preserve"> M22 * $Q$3</f>
        <v>7.5</v>
      </c>
      <c r="O22" s="5"/>
    </row>
    <row r="23" spans="1:15">
      <c r="A23" s="2">
        <v>22</v>
      </c>
      <c r="B23" s="4">
        <f>DAY(E23)</f>
        <v>15</v>
      </c>
      <c r="C23" s="4">
        <f>MONTH(E23)</f>
        <v>10</v>
      </c>
      <c r="D23" s="4">
        <f>YEAR(E23)</f>
        <v>2023</v>
      </c>
      <c r="E23" s="3">
        <v>45214</v>
      </c>
      <c r="F23" s="4" t="s">
        <v>45</v>
      </c>
      <c r="G23" s="4" t="s">
        <v>15</v>
      </c>
      <c r="H23" s="4">
        <v>18</v>
      </c>
      <c r="I23" s="4" t="str" cm="1">
        <f t="array" ref="I23">_xlfn.IFS(
  H23&lt;30,"Young Adult",
  H23&lt;50,"Adult",
  H23&gt;=50,"Senior"
)</f>
        <v>Young Adult</v>
      </c>
      <c r="J23" s="4" t="s">
        <v>20</v>
      </c>
      <c r="K23" s="4">
        <v>2</v>
      </c>
      <c r="L23" s="5">
        <v>50</v>
      </c>
      <c r="M23" s="5">
        <f xml:space="preserve"> K23*L23</f>
        <v>100</v>
      </c>
      <c r="N23" s="14">
        <f xml:space="preserve"> M23 * $Q$3</f>
        <v>1.5</v>
      </c>
      <c r="O23" s="5"/>
    </row>
    <row r="24" spans="1:15">
      <c r="A24" s="2">
        <v>23</v>
      </c>
      <c r="B24" s="4">
        <f>DAY(E24)</f>
        <v>12</v>
      </c>
      <c r="C24" s="4">
        <f>MONTH(E24)</f>
        <v>4</v>
      </c>
      <c r="D24" s="4">
        <f>YEAR(E24)</f>
        <v>2023</v>
      </c>
      <c r="E24" s="17">
        <v>45028</v>
      </c>
      <c r="F24" s="4" t="s">
        <v>46</v>
      </c>
      <c r="G24" s="4" t="s">
        <v>19</v>
      </c>
      <c r="H24" s="4">
        <v>35</v>
      </c>
      <c r="I24" s="4" t="str" cm="1">
        <f t="array" ref="I24">_xlfn.IFS(
  H24&lt;30,"Young Adult",
  H24&lt;50,"Adult",
  H24&gt;=50,"Senior"
)</f>
        <v>Adult</v>
      </c>
      <c r="J24" s="4" t="s">
        <v>20</v>
      </c>
      <c r="K24" s="4">
        <v>4</v>
      </c>
      <c r="L24" s="5">
        <v>30</v>
      </c>
      <c r="M24" s="5">
        <f xml:space="preserve"> K24*L24</f>
        <v>120</v>
      </c>
      <c r="N24" s="14">
        <f xml:space="preserve"> M24 * $Q$3</f>
        <v>1.7999999999999998</v>
      </c>
      <c r="O24" s="5"/>
    </row>
    <row r="25" spans="1:15">
      <c r="A25" s="2">
        <v>24</v>
      </c>
      <c r="B25" s="4">
        <f>DAY(E25)</f>
        <v>29</v>
      </c>
      <c r="C25" s="4">
        <f>MONTH(E25)</f>
        <v>11</v>
      </c>
      <c r="D25" s="4">
        <f>YEAR(E25)</f>
        <v>2023</v>
      </c>
      <c r="E25" s="3">
        <v>45259</v>
      </c>
      <c r="F25" s="4" t="s">
        <v>47</v>
      </c>
      <c r="G25" s="4" t="s">
        <v>19</v>
      </c>
      <c r="H25" s="4">
        <v>49</v>
      </c>
      <c r="I25" s="4" t="str" cm="1">
        <f t="array" ref="I25">_xlfn.IFS(
  H25&lt;30,"Young Adult",
  H25&lt;50,"Adult",
  H25&gt;=50,"Senior"
)</f>
        <v>Adult</v>
      </c>
      <c r="J25" s="4" t="s">
        <v>20</v>
      </c>
      <c r="K25" s="4">
        <v>1</v>
      </c>
      <c r="L25" s="5">
        <v>300</v>
      </c>
      <c r="M25" s="5">
        <f xml:space="preserve"> K25*L25</f>
        <v>300</v>
      </c>
      <c r="N25" s="14">
        <f xml:space="preserve"> M25 * $Q$3</f>
        <v>4.5</v>
      </c>
      <c r="O25" s="5"/>
    </row>
    <row r="26" spans="1:15">
      <c r="A26" s="2">
        <v>25</v>
      </c>
      <c r="B26" s="4">
        <f>DAY(E26)</f>
        <v>26</v>
      </c>
      <c r="C26" s="4">
        <f>MONTH(E26)</f>
        <v>12</v>
      </c>
      <c r="D26" s="4">
        <f>YEAR(E26)</f>
        <v>2023</v>
      </c>
      <c r="E26" s="3">
        <v>45286</v>
      </c>
      <c r="F26" s="4" t="s">
        <v>48</v>
      </c>
      <c r="G26" s="4" t="s">
        <v>19</v>
      </c>
      <c r="H26" s="4">
        <v>64</v>
      </c>
      <c r="I26" s="4" t="str" cm="1">
        <f t="array" ref="I26">_xlfn.IFS(
  H26&lt;30,"Young Adult",
  H26&lt;50,"Adult",
  H26&gt;=50,"Senior"
)</f>
        <v>Senior</v>
      </c>
      <c r="J26" s="4" t="s">
        <v>16</v>
      </c>
      <c r="K26" s="4">
        <v>1</v>
      </c>
      <c r="L26" s="5">
        <v>50</v>
      </c>
      <c r="M26" s="5">
        <f xml:space="preserve"> K26*L26</f>
        <v>50</v>
      </c>
      <c r="N26" s="14">
        <f xml:space="preserve"> M26 * $Q$3</f>
        <v>0.75</v>
      </c>
      <c r="O26" s="5"/>
    </row>
    <row r="27" spans="1:15">
      <c r="A27" s="2">
        <v>26</v>
      </c>
      <c r="B27" s="4">
        <f>DAY(E27)</f>
        <v>7</v>
      </c>
      <c r="C27" s="4">
        <f>MONTH(E27)</f>
        <v>10</v>
      </c>
      <c r="D27" s="4">
        <f>YEAR(E27)</f>
        <v>2023</v>
      </c>
      <c r="E27" s="3">
        <v>45206</v>
      </c>
      <c r="F27" s="4" t="s">
        <v>49</v>
      </c>
      <c r="G27" s="4" t="s">
        <v>19</v>
      </c>
      <c r="H27" s="4">
        <v>28</v>
      </c>
      <c r="I27" s="4" t="str" cm="1">
        <f t="array" ref="I27">_xlfn.IFS(
  H27&lt;30,"Young Adult",
  H27&lt;50,"Adult",
  H27&gt;=50,"Senior"
)</f>
        <v>Young Adult</v>
      </c>
      <c r="J27" s="4" t="s">
        <v>23</v>
      </c>
      <c r="K27" s="4">
        <v>2</v>
      </c>
      <c r="L27" s="5">
        <v>500</v>
      </c>
      <c r="M27" s="5">
        <f xml:space="preserve"> K27*L27</f>
        <v>1000</v>
      </c>
      <c r="N27" s="14">
        <f xml:space="preserve"> M27 * $Q$3</f>
        <v>15</v>
      </c>
      <c r="O27" s="5"/>
    </row>
    <row r="28" spans="1:15">
      <c r="A28" s="2">
        <v>27</v>
      </c>
      <c r="B28" s="4">
        <f>DAY(E28)</f>
        <v>3</v>
      </c>
      <c r="C28" s="4">
        <f>MONTH(E28)</f>
        <v>8</v>
      </c>
      <c r="D28" s="4">
        <f>YEAR(E28)</f>
        <v>2023</v>
      </c>
      <c r="E28" s="3">
        <v>45141</v>
      </c>
      <c r="F28" s="4" t="s">
        <v>50</v>
      </c>
      <c r="G28" s="4" t="s">
        <v>19</v>
      </c>
      <c r="H28" s="4">
        <v>38</v>
      </c>
      <c r="I28" s="4" t="str" cm="1">
        <f t="array" ref="I28">_xlfn.IFS(
  H28&lt;30,"Young Adult",
  H28&lt;50,"Adult",
  H28&gt;=50,"Senior"
)</f>
        <v>Adult</v>
      </c>
      <c r="J28" s="4" t="s">
        <v>16</v>
      </c>
      <c r="K28" s="4">
        <v>2</v>
      </c>
      <c r="L28" s="5">
        <v>25</v>
      </c>
      <c r="M28" s="5">
        <f xml:space="preserve"> K28*L28</f>
        <v>50</v>
      </c>
      <c r="N28" s="14">
        <f xml:space="preserve"> M28 * $Q$3</f>
        <v>0.75</v>
      </c>
      <c r="O28" s="5"/>
    </row>
    <row r="29" spans="1:15">
      <c r="A29" s="2">
        <v>28</v>
      </c>
      <c r="B29" s="4">
        <f>DAY(E29)</f>
        <v>23</v>
      </c>
      <c r="C29" s="4">
        <f>MONTH(E29)</f>
        <v>4</v>
      </c>
      <c r="D29" s="4">
        <f>YEAR(E29)</f>
        <v>2023</v>
      </c>
      <c r="E29" s="17">
        <v>45039</v>
      </c>
      <c r="F29" s="4" t="s">
        <v>51</v>
      </c>
      <c r="G29" s="4" t="s">
        <v>19</v>
      </c>
      <c r="H29" s="4">
        <v>43</v>
      </c>
      <c r="I29" s="4" t="str" cm="1">
        <f t="array" ref="I29">_xlfn.IFS(
  H29&lt;30,"Young Adult",
  H29&lt;50,"Adult",
  H29&gt;=50,"Senior"
)</f>
        <v>Adult</v>
      </c>
      <c r="J29" s="4" t="s">
        <v>16</v>
      </c>
      <c r="K29" s="4">
        <v>1</v>
      </c>
      <c r="L29" s="5">
        <v>500</v>
      </c>
      <c r="M29" s="5">
        <f xml:space="preserve"> K29*L29</f>
        <v>500</v>
      </c>
      <c r="N29" s="14">
        <f xml:space="preserve"> M29 * $Q$3</f>
        <v>7.5</v>
      </c>
      <c r="O29" s="5"/>
    </row>
    <row r="30" spans="1:15">
      <c r="A30" s="2">
        <v>29</v>
      </c>
      <c r="B30" s="4">
        <f>DAY(E30)</f>
        <v>18</v>
      </c>
      <c r="C30" s="4">
        <f>MONTH(E30)</f>
        <v>8</v>
      </c>
      <c r="D30" s="4">
        <f>YEAR(E30)</f>
        <v>2023</v>
      </c>
      <c r="E30" s="3">
        <v>45156</v>
      </c>
      <c r="F30" s="4" t="s">
        <v>52</v>
      </c>
      <c r="G30" s="4" t="s">
        <v>19</v>
      </c>
      <c r="H30" s="4">
        <v>42</v>
      </c>
      <c r="I30" s="4" t="str" cm="1">
        <f t="array" ref="I30">_xlfn.IFS(
  H30&lt;30,"Young Adult",
  H30&lt;50,"Adult",
  H30&gt;=50,"Senior"
)</f>
        <v>Adult</v>
      </c>
      <c r="J30" s="4" t="s">
        <v>23</v>
      </c>
      <c r="K30" s="4">
        <v>1</v>
      </c>
      <c r="L30" s="5">
        <v>30</v>
      </c>
      <c r="M30" s="5">
        <f xml:space="preserve"> K30*L30</f>
        <v>30</v>
      </c>
      <c r="N30" s="14">
        <f xml:space="preserve"> M30 * $Q$3</f>
        <v>0.44999999999999996</v>
      </c>
      <c r="O30" s="5"/>
    </row>
    <row r="31" spans="1:15">
      <c r="A31" s="2">
        <v>30</v>
      </c>
      <c r="B31" s="4">
        <f>DAY(E31)</f>
        <v>29</v>
      </c>
      <c r="C31" s="4">
        <f>MONTH(E31)</f>
        <v>10</v>
      </c>
      <c r="D31" s="4">
        <f>YEAR(E31)</f>
        <v>2023</v>
      </c>
      <c r="E31" s="3">
        <v>45228</v>
      </c>
      <c r="F31" s="4" t="s">
        <v>53</v>
      </c>
      <c r="G31" s="4" t="s">
        <v>19</v>
      </c>
      <c r="H31" s="4">
        <v>39</v>
      </c>
      <c r="I31" s="4" t="str" cm="1">
        <f t="array" ref="I31">_xlfn.IFS(
  H31&lt;30,"Young Adult",
  H31&lt;50,"Adult",
  H31&gt;=50,"Senior"
)</f>
        <v>Adult</v>
      </c>
      <c r="J31" s="4" t="s">
        <v>16</v>
      </c>
      <c r="K31" s="4">
        <v>3</v>
      </c>
      <c r="L31" s="5">
        <v>300</v>
      </c>
      <c r="M31" s="5">
        <f xml:space="preserve"> K31*L31</f>
        <v>900</v>
      </c>
      <c r="N31" s="14">
        <f xml:space="preserve"> M31 * $Q$3</f>
        <v>13.5</v>
      </c>
      <c r="O31" s="5"/>
    </row>
    <row r="32" spans="1:15">
      <c r="A32" s="2">
        <v>31</v>
      </c>
      <c r="B32" s="4">
        <f>DAY(E32)</f>
        <v>23</v>
      </c>
      <c r="C32" s="4">
        <f>MONTH(E32)</f>
        <v>5</v>
      </c>
      <c r="D32" s="4">
        <f>YEAR(E32)</f>
        <v>2023</v>
      </c>
      <c r="E32" s="17">
        <v>45069</v>
      </c>
      <c r="F32" s="4" t="s">
        <v>54</v>
      </c>
      <c r="G32" s="4" t="s">
        <v>15</v>
      </c>
      <c r="H32" s="4">
        <v>44</v>
      </c>
      <c r="I32" s="4" t="str" cm="1">
        <f t="array" ref="I32">_xlfn.IFS(
  H32&lt;30,"Young Adult",
  H32&lt;50,"Adult",
  H32&gt;=50,"Senior"
)</f>
        <v>Adult</v>
      </c>
      <c r="J32" s="4" t="s">
        <v>23</v>
      </c>
      <c r="K32" s="4">
        <v>4</v>
      </c>
      <c r="L32" s="5">
        <v>300</v>
      </c>
      <c r="M32" s="5">
        <f xml:space="preserve"> K32*L32</f>
        <v>1200</v>
      </c>
      <c r="N32" s="14">
        <f xml:space="preserve"> M32 * $Q$3</f>
        <v>18</v>
      </c>
      <c r="O32" s="5"/>
    </row>
    <row r="33" spans="1:15">
      <c r="A33" s="2">
        <v>32</v>
      </c>
      <c r="B33" s="4">
        <f>DAY(E33)</f>
        <v>4</v>
      </c>
      <c r="C33" s="4">
        <f>MONTH(E33)</f>
        <v>1</v>
      </c>
      <c r="D33" s="4">
        <f>YEAR(E33)</f>
        <v>2023</v>
      </c>
      <c r="E33" s="3">
        <v>44930</v>
      </c>
      <c r="F33" s="4" t="s">
        <v>55</v>
      </c>
      <c r="G33" s="4" t="s">
        <v>15</v>
      </c>
      <c r="H33" s="4">
        <v>30</v>
      </c>
      <c r="I33" s="4" t="str" cm="1">
        <f t="array" ref="I33">_xlfn.IFS(
  H33&lt;30,"Young Adult",
  H33&lt;50,"Adult",
  H33&gt;=50,"Senior"
)</f>
        <v>Adult</v>
      </c>
      <c r="J33" s="4" t="s">
        <v>16</v>
      </c>
      <c r="K33" s="4">
        <v>3</v>
      </c>
      <c r="L33" s="5">
        <v>30</v>
      </c>
      <c r="M33" s="5">
        <f xml:space="preserve"> K33*L33</f>
        <v>90</v>
      </c>
      <c r="N33" s="14">
        <f xml:space="preserve"> M33 * $Q$3</f>
        <v>1.3499999999999999</v>
      </c>
      <c r="O33" s="5"/>
    </row>
    <row r="34" spans="1:15">
      <c r="A34" s="2">
        <v>33</v>
      </c>
      <c r="B34" s="4">
        <f>DAY(E34)</f>
        <v>23</v>
      </c>
      <c r="C34" s="4">
        <f>MONTH(E34)</f>
        <v>3</v>
      </c>
      <c r="D34" s="4">
        <f>YEAR(E34)</f>
        <v>2023</v>
      </c>
      <c r="E34" s="17">
        <v>45008</v>
      </c>
      <c r="F34" s="4" t="s">
        <v>56</v>
      </c>
      <c r="G34" s="4" t="s">
        <v>19</v>
      </c>
      <c r="H34" s="4">
        <v>50</v>
      </c>
      <c r="I34" s="4" t="str" cm="1">
        <f t="array" ref="I34">_xlfn.IFS(
  H34&lt;30,"Young Adult",
  H34&lt;50,"Adult",
  H34&gt;=50,"Senior"
)</f>
        <v>Senior</v>
      </c>
      <c r="J34" s="4" t="s">
        <v>23</v>
      </c>
      <c r="K34" s="4">
        <v>2</v>
      </c>
      <c r="L34" s="5">
        <v>50</v>
      </c>
      <c r="M34" s="5">
        <f xml:space="preserve"> K34*L34</f>
        <v>100</v>
      </c>
      <c r="N34" s="14">
        <f xml:space="preserve"> M34 * $Q$3</f>
        <v>1.5</v>
      </c>
      <c r="O34" s="5"/>
    </row>
    <row r="35" spans="1:15">
      <c r="A35" s="2">
        <v>34</v>
      </c>
      <c r="B35" s="4">
        <f>DAY(E35)</f>
        <v>24</v>
      </c>
      <c r="C35" s="4">
        <f>MONTH(E35)</f>
        <v>12</v>
      </c>
      <c r="D35" s="4">
        <f>YEAR(E35)</f>
        <v>2023</v>
      </c>
      <c r="E35" s="3">
        <v>45284</v>
      </c>
      <c r="F35" s="4" t="s">
        <v>57</v>
      </c>
      <c r="G35" s="4" t="s">
        <v>19</v>
      </c>
      <c r="H35" s="4">
        <v>51</v>
      </c>
      <c r="I35" s="4" t="str" cm="1">
        <f t="array" ref="I35">_xlfn.IFS(
  H35&lt;30,"Young Adult",
  H35&lt;50,"Adult",
  H35&gt;=50,"Senior"
)</f>
        <v>Senior</v>
      </c>
      <c r="J35" s="4" t="s">
        <v>20</v>
      </c>
      <c r="K35" s="4">
        <v>3</v>
      </c>
      <c r="L35" s="5">
        <v>50</v>
      </c>
      <c r="M35" s="5">
        <f xml:space="preserve"> K35*L35</f>
        <v>150</v>
      </c>
      <c r="N35" s="14">
        <f xml:space="preserve"> M35 * $Q$3</f>
        <v>2.25</v>
      </c>
      <c r="O35" s="5"/>
    </row>
    <row r="36" spans="1:15">
      <c r="A36" s="2">
        <v>35</v>
      </c>
      <c r="B36" s="4">
        <f>DAY(E36)</f>
        <v>5</v>
      </c>
      <c r="C36" s="4">
        <f>MONTH(E36)</f>
        <v>8</v>
      </c>
      <c r="D36" s="4">
        <f>YEAR(E36)</f>
        <v>2023</v>
      </c>
      <c r="E36" s="3">
        <v>45143</v>
      </c>
      <c r="F36" s="4" t="s">
        <v>58</v>
      </c>
      <c r="G36" s="4" t="s">
        <v>19</v>
      </c>
      <c r="H36" s="4">
        <v>58</v>
      </c>
      <c r="I36" s="4" t="str" cm="1">
        <f t="array" ref="I36">_xlfn.IFS(
  H36&lt;30,"Young Adult",
  H36&lt;50,"Adult",
  H36&gt;=50,"Senior"
)</f>
        <v>Senior</v>
      </c>
      <c r="J36" s="4" t="s">
        <v>16</v>
      </c>
      <c r="K36" s="4">
        <v>3</v>
      </c>
      <c r="L36" s="5">
        <v>300</v>
      </c>
      <c r="M36" s="5">
        <f xml:space="preserve"> K36*L36</f>
        <v>900</v>
      </c>
      <c r="N36" s="14">
        <f xml:space="preserve"> M36 * $Q$3</f>
        <v>13.5</v>
      </c>
      <c r="O36" s="5"/>
    </row>
    <row r="37" spans="1:15">
      <c r="A37" s="2">
        <v>36</v>
      </c>
      <c r="B37" s="4">
        <f>DAY(E37)</f>
        <v>24</v>
      </c>
      <c r="C37" s="4">
        <f>MONTH(E37)</f>
        <v>6</v>
      </c>
      <c r="D37" s="4">
        <f>YEAR(E37)</f>
        <v>2023</v>
      </c>
      <c r="E37" s="3">
        <v>45101</v>
      </c>
      <c r="F37" s="4" t="s">
        <v>59</v>
      </c>
      <c r="G37" s="4" t="s">
        <v>15</v>
      </c>
      <c r="H37" s="4">
        <v>52</v>
      </c>
      <c r="I37" s="4" t="str" cm="1">
        <f t="array" ref="I37">_xlfn.IFS(
  H37&lt;30,"Young Adult",
  H37&lt;50,"Adult",
  H37&gt;=50,"Senior"
)</f>
        <v>Senior</v>
      </c>
      <c r="J37" s="4" t="s">
        <v>16</v>
      </c>
      <c r="K37" s="4">
        <v>3</v>
      </c>
      <c r="L37" s="5">
        <v>300</v>
      </c>
      <c r="M37" s="5">
        <f xml:space="preserve"> K37*L37</f>
        <v>900</v>
      </c>
      <c r="N37" s="14">
        <f xml:space="preserve"> M37 * $Q$3</f>
        <v>13.5</v>
      </c>
      <c r="O37" s="5"/>
    </row>
    <row r="38" spans="1:15">
      <c r="A38" s="2">
        <v>37</v>
      </c>
      <c r="B38" s="4">
        <f>DAY(E38)</f>
        <v>23</v>
      </c>
      <c r="C38" s="4">
        <f>MONTH(E38)</f>
        <v>5</v>
      </c>
      <c r="D38" s="4">
        <f>YEAR(E38)</f>
        <v>2023</v>
      </c>
      <c r="E38" s="17">
        <v>45069</v>
      </c>
      <c r="F38" s="4" t="s">
        <v>60</v>
      </c>
      <c r="G38" s="4" t="s">
        <v>19</v>
      </c>
      <c r="H38" s="4">
        <v>18</v>
      </c>
      <c r="I38" s="4" t="str" cm="1">
        <f t="array" ref="I38">_xlfn.IFS(
  H38&lt;30,"Young Adult",
  H38&lt;50,"Adult",
  H38&gt;=50,"Senior"
)</f>
        <v>Young Adult</v>
      </c>
      <c r="J38" s="4" t="s">
        <v>16</v>
      </c>
      <c r="K38" s="4">
        <v>3</v>
      </c>
      <c r="L38" s="5">
        <v>25</v>
      </c>
      <c r="M38" s="5">
        <f xml:space="preserve"> K38*L38</f>
        <v>75</v>
      </c>
      <c r="N38" s="14">
        <f xml:space="preserve"> M38 * $Q$3</f>
        <v>1.125</v>
      </c>
      <c r="O38" s="5"/>
    </row>
    <row r="39" spans="1:15">
      <c r="A39" s="2">
        <v>38</v>
      </c>
      <c r="B39" s="4">
        <f>DAY(E39)</f>
        <v>21</v>
      </c>
      <c r="C39" s="4">
        <f>MONTH(E39)</f>
        <v>3</v>
      </c>
      <c r="D39" s="4">
        <f>YEAR(E39)</f>
        <v>2023</v>
      </c>
      <c r="E39" s="17">
        <v>45006</v>
      </c>
      <c r="F39" s="4" t="s">
        <v>61</v>
      </c>
      <c r="G39" s="4" t="s">
        <v>15</v>
      </c>
      <c r="H39" s="4">
        <v>38</v>
      </c>
      <c r="I39" s="4" t="str" cm="1">
        <f t="array" ref="I39">_xlfn.IFS(
  H39&lt;30,"Young Adult",
  H39&lt;50,"Adult",
  H39&gt;=50,"Senior"
)</f>
        <v>Adult</v>
      </c>
      <c r="J39" s="4" t="s">
        <v>16</v>
      </c>
      <c r="K39" s="4">
        <v>4</v>
      </c>
      <c r="L39" s="5">
        <v>50</v>
      </c>
      <c r="M39" s="5">
        <f xml:space="preserve"> K39*L39</f>
        <v>200</v>
      </c>
      <c r="N39" s="14">
        <f xml:space="preserve"> M39 * $Q$3</f>
        <v>3</v>
      </c>
      <c r="O39" s="5"/>
    </row>
    <row r="40" spans="1:15">
      <c r="A40" s="2">
        <v>39</v>
      </c>
      <c r="B40" s="4">
        <f>DAY(E40)</f>
        <v>21</v>
      </c>
      <c r="C40" s="4">
        <f>MONTH(E40)</f>
        <v>4</v>
      </c>
      <c r="D40" s="4">
        <f>YEAR(E40)</f>
        <v>2023</v>
      </c>
      <c r="E40" s="17">
        <v>45037</v>
      </c>
      <c r="F40" s="4" t="s">
        <v>62</v>
      </c>
      <c r="G40" s="4" t="s">
        <v>15</v>
      </c>
      <c r="H40" s="4">
        <v>23</v>
      </c>
      <c r="I40" s="4" t="str" cm="1">
        <f t="array" ref="I40">_xlfn.IFS(
  H40&lt;30,"Young Adult",
  H40&lt;50,"Adult",
  H40&gt;=50,"Senior"
)</f>
        <v>Young Adult</v>
      </c>
      <c r="J40" s="4" t="s">
        <v>20</v>
      </c>
      <c r="K40" s="4">
        <v>4</v>
      </c>
      <c r="L40" s="5">
        <v>30</v>
      </c>
      <c r="M40" s="5">
        <f xml:space="preserve"> K40*L40</f>
        <v>120</v>
      </c>
      <c r="N40" s="14">
        <f xml:space="preserve"> M40 * $Q$3</f>
        <v>1.7999999999999998</v>
      </c>
      <c r="O40" s="5"/>
    </row>
    <row r="41" spans="1:15">
      <c r="A41" s="2">
        <v>40</v>
      </c>
      <c r="B41" s="4">
        <f>DAY(E41)</f>
        <v>22</v>
      </c>
      <c r="C41" s="4">
        <f>MONTH(E41)</f>
        <v>6</v>
      </c>
      <c r="D41" s="4">
        <f>YEAR(E41)</f>
        <v>2023</v>
      </c>
      <c r="E41" s="3">
        <v>45099</v>
      </c>
      <c r="F41" s="4" t="s">
        <v>63</v>
      </c>
      <c r="G41" s="4" t="s">
        <v>15</v>
      </c>
      <c r="H41" s="4">
        <v>45</v>
      </c>
      <c r="I41" s="4" t="str" cm="1">
        <f t="array" ref="I41">_xlfn.IFS(
  H41&lt;30,"Young Adult",
  H41&lt;50,"Adult",
  H41&gt;=50,"Senior"
)</f>
        <v>Adult</v>
      </c>
      <c r="J41" s="4" t="s">
        <v>16</v>
      </c>
      <c r="K41" s="4">
        <v>1</v>
      </c>
      <c r="L41" s="5">
        <v>50</v>
      </c>
      <c r="M41" s="5">
        <f xml:space="preserve"> K41*L41</f>
        <v>50</v>
      </c>
      <c r="N41" s="14">
        <f xml:space="preserve"> M41 * $Q$3</f>
        <v>0.75</v>
      </c>
      <c r="O41" s="5"/>
    </row>
    <row r="42" spans="1:15">
      <c r="A42" s="2">
        <v>41</v>
      </c>
      <c r="B42" s="4">
        <f>DAY(E42)</f>
        <v>22</v>
      </c>
      <c r="C42" s="4">
        <f>MONTH(E42)</f>
        <v>2</v>
      </c>
      <c r="D42" s="4">
        <f>YEAR(E42)</f>
        <v>2023</v>
      </c>
      <c r="E42" s="3">
        <v>44979</v>
      </c>
      <c r="F42" s="4" t="s">
        <v>64</v>
      </c>
      <c r="G42" s="4" t="s">
        <v>15</v>
      </c>
      <c r="H42" s="4">
        <v>34</v>
      </c>
      <c r="I42" s="4" t="str" cm="1">
        <f t="array" ref="I42">_xlfn.IFS(
  H42&lt;30,"Young Adult",
  H42&lt;50,"Adult",
  H42&gt;=50,"Senior"
)</f>
        <v>Adult</v>
      </c>
      <c r="J42" s="4" t="s">
        <v>20</v>
      </c>
      <c r="K42" s="4">
        <v>2</v>
      </c>
      <c r="L42" s="5">
        <v>25</v>
      </c>
      <c r="M42" s="5">
        <f xml:space="preserve"> K42*L42</f>
        <v>50</v>
      </c>
      <c r="N42" s="14">
        <f xml:space="preserve"> M42 * $Q$3</f>
        <v>0.75</v>
      </c>
      <c r="O42" s="5"/>
    </row>
    <row r="43" spans="1:15">
      <c r="A43" s="2">
        <v>42</v>
      </c>
      <c r="B43" s="4">
        <f>DAY(E43)</f>
        <v>17</v>
      </c>
      <c r="C43" s="4">
        <f>MONTH(E43)</f>
        <v>2</v>
      </c>
      <c r="D43" s="4">
        <f>YEAR(E43)</f>
        <v>2023</v>
      </c>
      <c r="E43" s="3">
        <v>44974</v>
      </c>
      <c r="F43" s="4" t="s">
        <v>65</v>
      </c>
      <c r="G43" s="4" t="s">
        <v>15</v>
      </c>
      <c r="H43" s="4">
        <v>22</v>
      </c>
      <c r="I43" s="4" t="str" cm="1">
        <f t="array" ref="I43">_xlfn.IFS(
  H43&lt;30,"Young Adult",
  H43&lt;50,"Adult",
  H43&gt;=50,"Senior"
)</f>
        <v>Young Adult</v>
      </c>
      <c r="J43" s="4" t="s">
        <v>20</v>
      </c>
      <c r="K43" s="4">
        <v>3</v>
      </c>
      <c r="L43" s="5">
        <v>300</v>
      </c>
      <c r="M43" s="5">
        <f xml:space="preserve"> K43*L43</f>
        <v>900</v>
      </c>
      <c r="N43" s="14">
        <f xml:space="preserve"> M43 * $Q$3</f>
        <v>13.5</v>
      </c>
      <c r="O43" s="5"/>
    </row>
    <row r="44" spans="1:15">
      <c r="A44" s="2">
        <v>43</v>
      </c>
      <c r="B44" s="4">
        <f>DAY(E44)</f>
        <v>14</v>
      </c>
      <c r="C44" s="4">
        <f>MONTH(E44)</f>
        <v>7</v>
      </c>
      <c r="D44" s="4">
        <f>YEAR(E44)</f>
        <v>2023</v>
      </c>
      <c r="E44" s="3">
        <v>45121</v>
      </c>
      <c r="F44" s="4" t="s">
        <v>66</v>
      </c>
      <c r="G44" s="4" t="s">
        <v>19</v>
      </c>
      <c r="H44" s="4">
        <v>48</v>
      </c>
      <c r="I44" s="4" t="str" cm="1">
        <f t="array" ref="I44">_xlfn.IFS(
  H44&lt;30,"Young Adult",
  H44&lt;50,"Adult",
  H44&gt;=50,"Senior"
)</f>
        <v>Adult</v>
      </c>
      <c r="J44" s="4" t="s">
        <v>20</v>
      </c>
      <c r="K44" s="4">
        <v>1</v>
      </c>
      <c r="L44" s="5">
        <v>300</v>
      </c>
      <c r="M44" s="5">
        <f xml:space="preserve"> K44*L44</f>
        <v>300</v>
      </c>
      <c r="N44" s="14">
        <f xml:space="preserve"> M44 * $Q$3</f>
        <v>4.5</v>
      </c>
      <c r="O44" s="5"/>
    </row>
    <row r="45" spans="1:15">
      <c r="A45" s="2">
        <v>44</v>
      </c>
      <c r="B45" s="4">
        <f>DAY(E45)</f>
        <v>19</v>
      </c>
      <c r="C45" s="4">
        <f>MONTH(E45)</f>
        <v>2</v>
      </c>
      <c r="D45" s="4">
        <f>YEAR(E45)</f>
        <v>2023</v>
      </c>
      <c r="E45" s="3">
        <v>44976</v>
      </c>
      <c r="F45" s="4" t="s">
        <v>67</v>
      </c>
      <c r="G45" s="4" t="s">
        <v>19</v>
      </c>
      <c r="H45" s="4">
        <v>22</v>
      </c>
      <c r="I45" s="4" t="str" cm="1">
        <f t="array" ref="I45">_xlfn.IFS(
  H45&lt;30,"Young Adult",
  H45&lt;50,"Adult",
  H45&gt;=50,"Senior"
)</f>
        <v>Young Adult</v>
      </c>
      <c r="J45" s="4" t="s">
        <v>20</v>
      </c>
      <c r="K45" s="4">
        <v>1</v>
      </c>
      <c r="L45" s="5">
        <v>25</v>
      </c>
      <c r="M45" s="5">
        <f xml:space="preserve"> K45*L45</f>
        <v>25</v>
      </c>
      <c r="N45" s="14">
        <f xml:space="preserve"> M45 * $Q$3</f>
        <v>0.375</v>
      </c>
      <c r="O45" s="5"/>
    </row>
    <row r="46" spans="1:15">
      <c r="A46" s="2">
        <v>45</v>
      </c>
      <c r="B46" s="4">
        <f>DAY(E46)</f>
        <v>3</v>
      </c>
      <c r="C46" s="4">
        <f>MONTH(E46)</f>
        <v>7</v>
      </c>
      <c r="D46" s="4">
        <f>YEAR(E46)</f>
        <v>2023</v>
      </c>
      <c r="E46" s="3">
        <v>45110</v>
      </c>
      <c r="F46" s="4" t="s">
        <v>68</v>
      </c>
      <c r="G46" s="4" t="s">
        <v>19</v>
      </c>
      <c r="H46" s="4">
        <v>55</v>
      </c>
      <c r="I46" s="4" t="str" cm="1">
        <f t="array" ref="I46">_xlfn.IFS(
  H46&lt;30,"Young Adult",
  H46&lt;50,"Adult",
  H46&gt;=50,"Senior"
)</f>
        <v>Senior</v>
      </c>
      <c r="J46" s="4" t="s">
        <v>23</v>
      </c>
      <c r="K46" s="4">
        <v>1</v>
      </c>
      <c r="L46" s="5">
        <v>30</v>
      </c>
      <c r="M46" s="5">
        <f xml:space="preserve"> K46*L46</f>
        <v>30</v>
      </c>
      <c r="N46" s="14">
        <f xml:space="preserve"> M46 * $Q$3</f>
        <v>0.44999999999999996</v>
      </c>
      <c r="O46" s="5"/>
    </row>
    <row r="47" spans="1:15">
      <c r="A47" s="2">
        <v>46</v>
      </c>
      <c r="B47" s="4">
        <f>DAY(E47)</f>
        <v>26</v>
      </c>
      <c r="C47" s="4">
        <f>MONTH(E47)</f>
        <v>6</v>
      </c>
      <c r="D47" s="4">
        <f>YEAR(E47)</f>
        <v>2023</v>
      </c>
      <c r="E47" s="3">
        <v>45103</v>
      </c>
      <c r="F47" s="4" t="s">
        <v>69</v>
      </c>
      <c r="G47" s="4" t="s">
        <v>19</v>
      </c>
      <c r="H47" s="4">
        <v>20</v>
      </c>
      <c r="I47" s="4" t="str" cm="1">
        <f t="array" ref="I47">_xlfn.IFS(
  H47&lt;30,"Young Adult",
  H47&lt;50,"Adult",
  H47&gt;=50,"Senior"
)</f>
        <v>Young Adult</v>
      </c>
      <c r="J47" s="4" t="s">
        <v>23</v>
      </c>
      <c r="K47" s="4">
        <v>4</v>
      </c>
      <c r="L47" s="5">
        <v>300</v>
      </c>
      <c r="M47" s="5">
        <f xml:space="preserve"> K47*L47</f>
        <v>1200</v>
      </c>
      <c r="N47" s="14">
        <f xml:space="preserve"> M47 * $Q$3</f>
        <v>18</v>
      </c>
      <c r="O47" s="5"/>
    </row>
    <row r="48" spans="1:15">
      <c r="A48" s="2">
        <v>47</v>
      </c>
      <c r="B48" s="4">
        <f>DAY(E48)</f>
        <v>6</v>
      </c>
      <c r="C48" s="4">
        <f>MONTH(E48)</f>
        <v>11</v>
      </c>
      <c r="D48" s="4">
        <f>YEAR(E48)</f>
        <v>2023</v>
      </c>
      <c r="E48" s="3">
        <v>45236</v>
      </c>
      <c r="F48" s="4" t="s">
        <v>70</v>
      </c>
      <c r="G48" s="4" t="s">
        <v>19</v>
      </c>
      <c r="H48" s="4">
        <v>40</v>
      </c>
      <c r="I48" s="4" t="str" cm="1">
        <f t="array" ref="I48">_xlfn.IFS(
  H48&lt;30,"Young Adult",
  H48&lt;50,"Adult",
  H48&gt;=50,"Senior"
)</f>
        <v>Adult</v>
      </c>
      <c r="J48" s="4" t="s">
        <v>16</v>
      </c>
      <c r="K48" s="4">
        <v>3</v>
      </c>
      <c r="L48" s="5">
        <v>500</v>
      </c>
      <c r="M48" s="5">
        <f xml:space="preserve"> K48*L48</f>
        <v>1500</v>
      </c>
      <c r="N48" s="14">
        <f xml:space="preserve"> M48 * $Q$3</f>
        <v>22.5</v>
      </c>
      <c r="O48" s="5"/>
    </row>
    <row r="49" spans="1:15">
      <c r="A49" s="2">
        <v>48</v>
      </c>
      <c r="B49" s="4">
        <f>DAY(E49)</f>
        <v>16</v>
      </c>
      <c r="C49" s="4">
        <f>MONTH(E49)</f>
        <v>5</v>
      </c>
      <c r="D49" s="4">
        <f>YEAR(E49)</f>
        <v>2023</v>
      </c>
      <c r="E49" s="17">
        <v>45062</v>
      </c>
      <c r="F49" s="4" t="s">
        <v>71</v>
      </c>
      <c r="G49" s="4" t="s">
        <v>15</v>
      </c>
      <c r="H49" s="4">
        <v>54</v>
      </c>
      <c r="I49" s="4" t="str" cm="1">
        <f t="array" ref="I49">_xlfn.IFS(
  H49&lt;30,"Young Adult",
  H49&lt;50,"Adult",
  H49&gt;=50,"Senior"
)</f>
        <v>Senior</v>
      </c>
      <c r="J49" s="4" t="s">
        <v>23</v>
      </c>
      <c r="K49" s="4">
        <v>3</v>
      </c>
      <c r="L49" s="5">
        <v>300</v>
      </c>
      <c r="M49" s="5">
        <f xml:space="preserve"> K49*L49</f>
        <v>900</v>
      </c>
      <c r="N49" s="14">
        <f xml:space="preserve"> M49 * $Q$3</f>
        <v>13.5</v>
      </c>
      <c r="O49" s="5"/>
    </row>
    <row r="50" spans="1:15">
      <c r="A50" s="2">
        <v>49</v>
      </c>
      <c r="B50" s="4">
        <f>DAY(E50)</f>
        <v>23</v>
      </c>
      <c r="C50" s="4">
        <f>MONTH(E50)</f>
        <v>1</v>
      </c>
      <c r="D50" s="4">
        <f>YEAR(E50)</f>
        <v>2023</v>
      </c>
      <c r="E50" s="3">
        <v>44949</v>
      </c>
      <c r="F50" s="4" t="s">
        <v>72</v>
      </c>
      <c r="G50" s="4" t="s">
        <v>19</v>
      </c>
      <c r="H50" s="4">
        <v>54</v>
      </c>
      <c r="I50" s="4" t="str" cm="1">
        <f t="array" ref="I50">_xlfn.IFS(
  H50&lt;30,"Young Adult",
  H50&lt;50,"Adult",
  H50&gt;=50,"Senior"
)</f>
        <v>Senior</v>
      </c>
      <c r="J50" s="4" t="s">
        <v>23</v>
      </c>
      <c r="K50" s="4">
        <v>2</v>
      </c>
      <c r="L50" s="5">
        <v>500</v>
      </c>
      <c r="M50" s="5">
        <f xml:space="preserve"> K50*L50</f>
        <v>1000</v>
      </c>
      <c r="N50" s="14">
        <f xml:space="preserve"> M50 * $Q$3</f>
        <v>15</v>
      </c>
      <c r="O50" s="5"/>
    </row>
    <row r="51" spans="1:15">
      <c r="A51" s="2">
        <v>50</v>
      </c>
      <c r="B51" s="4">
        <f>DAY(E51)</f>
        <v>24</v>
      </c>
      <c r="C51" s="4">
        <f>MONTH(E51)</f>
        <v>8</v>
      </c>
      <c r="D51" s="4">
        <f>YEAR(E51)</f>
        <v>2023</v>
      </c>
      <c r="E51" s="3">
        <v>45162</v>
      </c>
      <c r="F51" s="4" t="s">
        <v>73</v>
      </c>
      <c r="G51" s="4" t="s">
        <v>19</v>
      </c>
      <c r="H51" s="4">
        <v>27</v>
      </c>
      <c r="I51" s="4" t="str" cm="1">
        <f t="array" ref="I51">_xlfn.IFS(
  H51&lt;30,"Young Adult",
  H51&lt;50,"Adult",
  H51&gt;=50,"Senior"
)</f>
        <v>Young Adult</v>
      </c>
      <c r="J51" s="4" t="s">
        <v>16</v>
      </c>
      <c r="K51" s="4">
        <v>3</v>
      </c>
      <c r="L51" s="5">
        <v>25</v>
      </c>
      <c r="M51" s="5">
        <f xml:space="preserve"> K51*L51</f>
        <v>75</v>
      </c>
      <c r="N51" s="14">
        <f xml:space="preserve"> M51 * $Q$3</f>
        <v>1.125</v>
      </c>
      <c r="O51" s="5"/>
    </row>
    <row r="52" spans="1:15">
      <c r="A52" s="2">
        <v>51</v>
      </c>
      <c r="B52" s="4">
        <f>DAY(E52)</f>
        <v>2</v>
      </c>
      <c r="C52" s="4">
        <f>MONTH(E52)</f>
        <v>10</v>
      </c>
      <c r="D52" s="4">
        <f>YEAR(E52)</f>
        <v>2023</v>
      </c>
      <c r="E52" s="3">
        <v>45201</v>
      </c>
      <c r="F52" s="4" t="s">
        <v>74</v>
      </c>
      <c r="G52" s="4" t="s">
        <v>15</v>
      </c>
      <c r="H52" s="4">
        <v>27</v>
      </c>
      <c r="I52" s="4" t="str" cm="1">
        <f t="array" ref="I52">_xlfn.IFS(
  H52&lt;30,"Young Adult",
  H52&lt;50,"Adult",
  H52&gt;=50,"Senior"
)</f>
        <v>Young Adult</v>
      </c>
      <c r="J52" s="4" t="s">
        <v>16</v>
      </c>
      <c r="K52" s="4">
        <v>3</v>
      </c>
      <c r="L52" s="5">
        <v>25</v>
      </c>
      <c r="M52" s="5">
        <f xml:space="preserve"> K52*L52</f>
        <v>75</v>
      </c>
      <c r="N52" s="14">
        <f xml:space="preserve"> M52 * $Q$3</f>
        <v>1.125</v>
      </c>
      <c r="O52" s="5"/>
    </row>
    <row r="53" spans="1:15">
      <c r="A53" s="2">
        <v>52</v>
      </c>
      <c r="B53" s="4">
        <f>DAY(E53)</f>
        <v>5</v>
      </c>
      <c r="C53" s="4">
        <f>MONTH(E53)</f>
        <v>3</v>
      </c>
      <c r="D53" s="4">
        <f>YEAR(E53)</f>
        <v>2023</v>
      </c>
      <c r="E53" s="17">
        <v>44990</v>
      </c>
      <c r="F53" s="4" t="s">
        <v>75</v>
      </c>
      <c r="G53" s="4" t="s">
        <v>19</v>
      </c>
      <c r="H53" s="4">
        <v>36</v>
      </c>
      <c r="I53" s="4" t="str" cm="1">
        <f t="array" ref="I53">_xlfn.IFS(
  H53&lt;30,"Young Adult",
  H53&lt;50,"Adult",
  H53&gt;=50,"Senior"
)</f>
        <v>Adult</v>
      </c>
      <c r="J53" s="4" t="s">
        <v>16</v>
      </c>
      <c r="K53" s="4">
        <v>1</v>
      </c>
      <c r="L53" s="5">
        <v>300</v>
      </c>
      <c r="M53" s="5">
        <f xml:space="preserve"> K53*L53</f>
        <v>300</v>
      </c>
      <c r="N53" s="14">
        <f xml:space="preserve"> M53 * $Q$3</f>
        <v>4.5</v>
      </c>
      <c r="O53" s="5"/>
    </row>
    <row r="54" spans="1:15">
      <c r="A54" s="2">
        <v>53</v>
      </c>
      <c r="B54" s="4">
        <f>DAY(E54)</f>
        <v>13</v>
      </c>
      <c r="C54" s="4">
        <f>MONTH(E54)</f>
        <v>7</v>
      </c>
      <c r="D54" s="4">
        <f>YEAR(E54)</f>
        <v>2023</v>
      </c>
      <c r="E54" s="3">
        <v>45120</v>
      </c>
      <c r="F54" s="4" t="s">
        <v>76</v>
      </c>
      <c r="G54" s="4" t="s">
        <v>15</v>
      </c>
      <c r="H54" s="4">
        <v>34</v>
      </c>
      <c r="I54" s="4" t="str" cm="1">
        <f t="array" ref="I54">_xlfn.IFS(
  H54&lt;30,"Young Adult",
  H54&lt;50,"Adult",
  H54&gt;=50,"Senior"
)</f>
        <v>Adult</v>
      </c>
      <c r="J54" s="4" t="s">
        <v>23</v>
      </c>
      <c r="K54" s="4">
        <v>2</v>
      </c>
      <c r="L54" s="5">
        <v>50</v>
      </c>
      <c r="M54" s="5">
        <f xml:space="preserve"> K54*L54</f>
        <v>100</v>
      </c>
      <c r="N54" s="14">
        <f xml:space="preserve"> M54 * $Q$3</f>
        <v>1.5</v>
      </c>
      <c r="O54" s="5"/>
    </row>
    <row r="55" spans="1:15">
      <c r="A55" s="2">
        <v>54</v>
      </c>
      <c r="B55" s="4">
        <f>DAY(E55)</f>
        <v>10</v>
      </c>
      <c r="C55" s="4">
        <f>MONTH(E55)</f>
        <v>2</v>
      </c>
      <c r="D55" s="4">
        <f>YEAR(E55)</f>
        <v>2023</v>
      </c>
      <c r="E55" s="3">
        <v>44967</v>
      </c>
      <c r="F55" s="4" t="s">
        <v>77</v>
      </c>
      <c r="G55" s="4" t="s">
        <v>19</v>
      </c>
      <c r="H55" s="4">
        <v>38</v>
      </c>
      <c r="I55" s="4" t="str" cm="1">
        <f t="array" ref="I55">_xlfn.IFS(
  H55&lt;30,"Young Adult",
  H55&lt;50,"Adult",
  H55&gt;=50,"Senior"
)</f>
        <v>Adult</v>
      </c>
      <c r="J55" s="4" t="s">
        <v>23</v>
      </c>
      <c r="K55" s="4">
        <v>3</v>
      </c>
      <c r="L55" s="5">
        <v>500</v>
      </c>
      <c r="M55" s="5">
        <f xml:space="preserve"> K55*L55</f>
        <v>1500</v>
      </c>
      <c r="N55" s="14">
        <f xml:space="preserve"> M55 * $Q$3</f>
        <v>22.5</v>
      </c>
      <c r="O55" s="5"/>
    </row>
    <row r="56" spans="1:15">
      <c r="A56" s="2">
        <v>55</v>
      </c>
      <c r="B56" s="4">
        <f>DAY(E56)</f>
        <v>10</v>
      </c>
      <c r="C56" s="4">
        <f>MONTH(E56)</f>
        <v>10</v>
      </c>
      <c r="D56" s="4">
        <f>YEAR(E56)</f>
        <v>2023</v>
      </c>
      <c r="E56" s="3">
        <v>45209</v>
      </c>
      <c r="F56" s="4" t="s">
        <v>78</v>
      </c>
      <c r="G56" s="4" t="s">
        <v>15</v>
      </c>
      <c r="H56" s="4">
        <v>31</v>
      </c>
      <c r="I56" s="4" t="str" cm="1">
        <f t="array" ref="I56">_xlfn.IFS(
  H56&lt;30,"Young Adult",
  H56&lt;50,"Adult",
  H56&gt;=50,"Senior"
)</f>
        <v>Adult</v>
      </c>
      <c r="J56" s="4" t="s">
        <v>16</v>
      </c>
      <c r="K56" s="4">
        <v>4</v>
      </c>
      <c r="L56" s="5">
        <v>30</v>
      </c>
      <c r="M56" s="5">
        <f xml:space="preserve"> K56*L56</f>
        <v>120</v>
      </c>
      <c r="N56" s="14">
        <f xml:space="preserve"> M56 * $Q$3</f>
        <v>1.7999999999999998</v>
      </c>
      <c r="O56" s="5"/>
    </row>
    <row r="57" spans="1:15">
      <c r="A57" s="2">
        <v>56</v>
      </c>
      <c r="B57" s="4">
        <f>DAY(E57)</f>
        <v>31</v>
      </c>
      <c r="C57" s="4">
        <f>MONTH(E57)</f>
        <v>5</v>
      </c>
      <c r="D57" s="4">
        <f>YEAR(E57)</f>
        <v>2023</v>
      </c>
      <c r="E57" s="17">
        <v>45077</v>
      </c>
      <c r="F57" s="4" t="s">
        <v>79</v>
      </c>
      <c r="G57" s="4" t="s">
        <v>19</v>
      </c>
      <c r="H57" s="4">
        <v>26</v>
      </c>
      <c r="I57" s="4" t="str" cm="1">
        <f t="array" ref="I57">_xlfn.IFS(
  H57&lt;30,"Young Adult",
  H57&lt;50,"Adult",
  H57&gt;=50,"Senior"
)</f>
        <v>Young Adult</v>
      </c>
      <c r="J57" s="4" t="s">
        <v>20</v>
      </c>
      <c r="K57" s="4">
        <v>3</v>
      </c>
      <c r="L57" s="5">
        <v>300</v>
      </c>
      <c r="M57" s="5">
        <f xml:space="preserve"> K57*L57</f>
        <v>900</v>
      </c>
      <c r="N57" s="14">
        <f xml:space="preserve"> M57 * $Q$3</f>
        <v>13.5</v>
      </c>
      <c r="O57" s="5"/>
    </row>
    <row r="58" spans="1:15">
      <c r="A58" s="2">
        <v>57</v>
      </c>
      <c r="B58" s="4">
        <f>DAY(E58)</f>
        <v>18</v>
      </c>
      <c r="C58" s="4">
        <f>MONTH(E58)</f>
        <v>11</v>
      </c>
      <c r="D58" s="4">
        <f>YEAR(E58)</f>
        <v>2023</v>
      </c>
      <c r="E58" s="3">
        <v>45248</v>
      </c>
      <c r="F58" s="4" t="s">
        <v>80</v>
      </c>
      <c r="G58" s="4" t="s">
        <v>19</v>
      </c>
      <c r="H58" s="4">
        <v>63</v>
      </c>
      <c r="I58" s="4" t="str" cm="1">
        <f t="array" ref="I58">_xlfn.IFS(
  H58&lt;30,"Young Adult",
  H58&lt;50,"Adult",
  H58&gt;=50,"Senior"
)</f>
        <v>Senior</v>
      </c>
      <c r="J58" s="4" t="s">
        <v>16</v>
      </c>
      <c r="K58" s="4">
        <v>1</v>
      </c>
      <c r="L58" s="5">
        <v>30</v>
      </c>
      <c r="M58" s="5">
        <f xml:space="preserve"> K58*L58</f>
        <v>30</v>
      </c>
      <c r="N58" s="14">
        <f xml:space="preserve"> M58 * $Q$3</f>
        <v>0.44999999999999996</v>
      </c>
      <c r="O58" s="5"/>
    </row>
    <row r="59" spans="1:15">
      <c r="A59" s="2">
        <v>58</v>
      </c>
      <c r="B59" s="4">
        <f>DAY(E59)</f>
        <v>13</v>
      </c>
      <c r="C59" s="4">
        <f>MONTH(E59)</f>
        <v>11</v>
      </c>
      <c r="D59" s="4">
        <f>YEAR(E59)</f>
        <v>2023</v>
      </c>
      <c r="E59" s="3">
        <v>45243</v>
      </c>
      <c r="F59" s="4" t="s">
        <v>81</v>
      </c>
      <c r="G59" s="4" t="s">
        <v>15</v>
      </c>
      <c r="H59" s="4">
        <v>18</v>
      </c>
      <c r="I59" s="4" t="str" cm="1">
        <f t="array" ref="I59">_xlfn.IFS(
  H59&lt;30,"Young Adult",
  H59&lt;50,"Adult",
  H59&gt;=50,"Senior"
)</f>
        <v>Young Adult</v>
      </c>
      <c r="J59" s="4" t="s">
        <v>20</v>
      </c>
      <c r="K59" s="4">
        <v>4</v>
      </c>
      <c r="L59" s="5">
        <v>300</v>
      </c>
      <c r="M59" s="5">
        <f xml:space="preserve"> K59*L59</f>
        <v>1200</v>
      </c>
      <c r="N59" s="14">
        <f xml:space="preserve"> M59 * $Q$3</f>
        <v>18</v>
      </c>
      <c r="O59" s="5"/>
    </row>
    <row r="60" spans="1:15">
      <c r="A60" s="2">
        <v>59</v>
      </c>
      <c r="B60" s="4">
        <f>DAY(E60)</f>
        <v>5</v>
      </c>
      <c r="C60" s="4">
        <f>MONTH(E60)</f>
        <v>7</v>
      </c>
      <c r="D60" s="4">
        <f>YEAR(E60)</f>
        <v>2023</v>
      </c>
      <c r="E60" s="3">
        <v>45112</v>
      </c>
      <c r="F60" s="4" t="s">
        <v>82</v>
      </c>
      <c r="G60" s="4" t="s">
        <v>15</v>
      </c>
      <c r="H60" s="4">
        <v>62</v>
      </c>
      <c r="I60" s="4" t="str" cm="1">
        <f t="array" ref="I60">_xlfn.IFS(
  H60&lt;30,"Young Adult",
  H60&lt;50,"Adult",
  H60&gt;=50,"Senior"
)</f>
        <v>Senior</v>
      </c>
      <c r="J60" s="4" t="s">
        <v>20</v>
      </c>
      <c r="K60" s="4">
        <v>1</v>
      </c>
      <c r="L60" s="5">
        <v>50</v>
      </c>
      <c r="M60" s="5">
        <f xml:space="preserve"> K60*L60</f>
        <v>50</v>
      </c>
      <c r="N60" s="14">
        <f xml:space="preserve"> M60 * $Q$3</f>
        <v>0.75</v>
      </c>
      <c r="O60" s="5"/>
    </row>
    <row r="61" spans="1:15">
      <c r="A61" s="2">
        <v>60</v>
      </c>
      <c r="B61" s="4">
        <f>DAY(E61)</f>
        <v>23</v>
      </c>
      <c r="C61" s="4">
        <f>MONTH(E61)</f>
        <v>10</v>
      </c>
      <c r="D61" s="4">
        <f>YEAR(E61)</f>
        <v>2023</v>
      </c>
      <c r="E61" s="3">
        <v>45222</v>
      </c>
      <c r="F61" s="4" t="s">
        <v>83</v>
      </c>
      <c r="G61" s="4" t="s">
        <v>15</v>
      </c>
      <c r="H61" s="4">
        <v>30</v>
      </c>
      <c r="I61" s="4" t="str" cm="1">
        <f t="array" ref="I61">_xlfn.IFS(
  H61&lt;30,"Young Adult",
  H61&lt;50,"Adult",
  H61&gt;=50,"Senior"
)</f>
        <v>Adult</v>
      </c>
      <c r="J61" s="4" t="s">
        <v>16</v>
      </c>
      <c r="K61" s="4">
        <v>3</v>
      </c>
      <c r="L61" s="5">
        <v>50</v>
      </c>
      <c r="M61" s="5">
        <f xml:space="preserve"> K61*L61</f>
        <v>150</v>
      </c>
      <c r="N61" s="14">
        <f xml:space="preserve"> M61 * $Q$3</f>
        <v>2.25</v>
      </c>
      <c r="O61" s="5"/>
    </row>
    <row r="62" spans="1:15">
      <c r="A62" s="2">
        <v>61</v>
      </c>
      <c r="B62" s="4">
        <f>DAY(E62)</f>
        <v>9</v>
      </c>
      <c r="C62" s="4">
        <f>MONTH(E62)</f>
        <v>4</v>
      </c>
      <c r="D62" s="4">
        <f>YEAR(E62)</f>
        <v>2023</v>
      </c>
      <c r="E62" s="17">
        <v>45025</v>
      </c>
      <c r="F62" s="4" t="s">
        <v>84</v>
      </c>
      <c r="G62" s="4" t="s">
        <v>15</v>
      </c>
      <c r="H62" s="4">
        <v>21</v>
      </c>
      <c r="I62" s="4" t="str" cm="1">
        <f t="array" ref="I62">_xlfn.IFS(
  H62&lt;30,"Young Adult",
  H62&lt;50,"Adult",
  H62&gt;=50,"Senior"
)</f>
        <v>Young Adult</v>
      </c>
      <c r="J62" s="4" t="s">
        <v>16</v>
      </c>
      <c r="K62" s="4">
        <v>4</v>
      </c>
      <c r="L62" s="5">
        <v>50</v>
      </c>
      <c r="M62" s="5">
        <f xml:space="preserve"> K62*L62</f>
        <v>200</v>
      </c>
      <c r="N62" s="14">
        <f xml:space="preserve"> M62 * $Q$3</f>
        <v>3</v>
      </c>
      <c r="O62" s="5"/>
    </row>
    <row r="63" spans="1:15">
      <c r="A63" s="2">
        <v>62</v>
      </c>
      <c r="B63" s="4">
        <f>DAY(E63)</f>
        <v>27</v>
      </c>
      <c r="C63" s="4">
        <f>MONTH(E63)</f>
        <v>12</v>
      </c>
      <c r="D63" s="4">
        <f>YEAR(E63)</f>
        <v>2023</v>
      </c>
      <c r="E63" s="3">
        <v>45287</v>
      </c>
      <c r="F63" s="4" t="s">
        <v>85</v>
      </c>
      <c r="G63" s="4" t="s">
        <v>15</v>
      </c>
      <c r="H63" s="4">
        <v>18</v>
      </c>
      <c r="I63" s="4" t="str" cm="1">
        <f t="array" ref="I63">_xlfn.IFS(
  H63&lt;30,"Young Adult",
  H63&lt;50,"Adult",
  H63&gt;=50,"Senior"
)</f>
        <v>Young Adult</v>
      </c>
      <c r="J63" s="4" t="s">
        <v>16</v>
      </c>
      <c r="K63" s="4">
        <v>2</v>
      </c>
      <c r="L63" s="5">
        <v>50</v>
      </c>
      <c r="M63" s="5">
        <f xml:space="preserve"> K63*L63</f>
        <v>100</v>
      </c>
      <c r="N63" s="14">
        <f xml:space="preserve"> M63 * $Q$3</f>
        <v>1.5</v>
      </c>
      <c r="O63" s="5"/>
    </row>
    <row r="64" spans="1:15">
      <c r="A64" s="2">
        <v>63</v>
      </c>
      <c r="B64" s="4">
        <f>DAY(E64)</f>
        <v>5</v>
      </c>
      <c r="C64" s="4">
        <f>MONTH(E64)</f>
        <v>2</v>
      </c>
      <c r="D64" s="4">
        <f>YEAR(E64)</f>
        <v>2023</v>
      </c>
      <c r="E64" s="3">
        <v>44962</v>
      </c>
      <c r="F64" s="4" t="s">
        <v>86</v>
      </c>
      <c r="G64" s="4" t="s">
        <v>15</v>
      </c>
      <c r="H64" s="4">
        <v>57</v>
      </c>
      <c r="I64" s="4" t="str" cm="1">
        <f t="array" ref="I64">_xlfn.IFS(
  H64&lt;30,"Young Adult",
  H64&lt;50,"Adult",
  H64&gt;=50,"Senior"
)</f>
        <v>Senior</v>
      </c>
      <c r="J64" s="4" t="s">
        <v>23</v>
      </c>
      <c r="K64" s="4">
        <v>2</v>
      </c>
      <c r="L64" s="5">
        <v>25</v>
      </c>
      <c r="M64" s="5">
        <f xml:space="preserve"> K64*L64</f>
        <v>50</v>
      </c>
      <c r="N64" s="14">
        <f xml:space="preserve"> M64 * $Q$3</f>
        <v>0.75</v>
      </c>
      <c r="O64" s="5"/>
    </row>
    <row r="65" spans="1:15">
      <c r="A65" s="2">
        <v>64</v>
      </c>
      <c r="B65" s="4">
        <f>DAY(E65)</f>
        <v>24</v>
      </c>
      <c r="C65" s="4">
        <f>MONTH(E65)</f>
        <v>1</v>
      </c>
      <c r="D65" s="4">
        <f>YEAR(E65)</f>
        <v>2023</v>
      </c>
      <c r="E65" s="3">
        <v>44950</v>
      </c>
      <c r="F65" s="4" t="s">
        <v>87</v>
      </c>
      <c r="G65" s="4" t="s">
        <v>15</v>
      </c>
      <c r="H65" s="4">
        <v>49</v>
      </c>
      <c r="I65" s="4" t="str" cm="1">
        <f t="array" ref="I65">_xlfn.IFS(
  H65&lt;30,"Young Adult",
  H65&lt;50,"Adult",
  H65&gt;=50,"Senior"
)</f>
        <v>Adult</v>
      </c>
      <c r="J65" s="4" t="s">
        <v>20</v>
      </c>
      <c r="K65" s="4">
        <v>4</v>
      </c>
      <c r="L65" s="5">
        <v>25</v>
      </c>
      <c r="M65" s="5">
        <f xml:space="preserve"> K65*L65</f>
        <v>100</v>
      </c>
      <c r="N65" s="14">
        <f xml:space="preserve"> M65 * $Q$3</f>
        <v>1.5</v>
      </c>
      <c r="O65" s="5"/>
    </row>
    <row r="66" spans="1:15">
      <c r="A66" s="2">
        <v>65</v>
      </c>
      <c r="B66" s="4">
        <f>DAY(E66)</f>
        <v>5</v>
      </c>
      <c r="C66" s="4">
        <f>MONTH(E66)</f>
        <v>12</v>
      </c>
      <c r="D66" s="4">
        <f>YEAR(E66)</f>
        <v>2023</v>
      </c>
      <c r="E66" s="3">
        <v>45265</v>
      </c>
      <c r="F66" s="4" t="s">
        <v>88</v>
      </c>
      <c r="G66" s="4" t="s">
        <v>15</v>
      </c>
      <c r="H66" s="4">
        <v>51</v>
      </c>
      <c r="I66" s="4" t="str" cm="1">
        <f t="array" ref="I66">_xlfn.IFS(
  H66&lt;30,"Young Adult",
  H66&lt;50,"Adult",
  H66&gt;=50,"Senior"
)</f>
        <v>Senior</v>
      </c>
      <c r="J66" s="4" t="s">
        <v>23</v>
      </c>
      <c r="K66" s="4">
        <v>4</v>
      </c>
      <c r="L66" s="5">
        <v>500</v>
      </c>
      <c r="M66" s="5">
        <f xml:space="preserve"> K66*L66</f>
        <v>2000</v>
      </c>
      <c r="N66" s="14">
        <f xml:space="preserve"> M66 * $Q$3</f>
        <v>30</v>
      </c>
      <c r="O66" s="5"/>
    </row>
    <row r="67" spans="1:15">
      <c r="A67" s="2">
        <v>66</v>
      </c>
      <c r="B67" s="4">
        <f>DAY(E67)</f>
        <v>27</v>
      </c>
      <c r="C67" s="4">
        <f>MONTH(E67)</f>
        <v>4</v>
      </c>
      <c r="D67" s="4">
        <f>YEAR(E67)</f>
        <v>2023</v>
      </c>
      <c r="E67" s="17">
        <v>45043</v>
      </c>
      <c r="F67" s="4" t="s">
        <v>89</v>
      </c>
      <c r="G67" s="4" t="s">
        <v>19</v>
      </c>
      <c r="H67" s="4">
        <v>45</v>
      </c>
      <c r="I67" s="4" t="str" cm="1">
        <f t="array" ref="I67">_xlfn.IFS(
  H67&lt;30,"Young Adult",
  H67&lt;50,"Adult",
  H67&gt;=50,"Senior"
)</f>
        <v>Adult</v>
      </c>
      <c r="J67" s="4" t="s">
        <v>23</v>
      </c>
      <c r="K67" s="4">
        <v>1</v>
      </c>
      <c r="L67" s="5">
        <v>30</v>
      </c>
      <c r="M67" s="5">
        <f xml:space="preserve"> K67*L67</f>
        <v>30</v>
      </c>
      <c r="N67" s="14">
        <f xml:space="preserve"> M67 * $Q$3</f>
        <v>0.44999999999999996</v>
      </c>
      <c r="O67" s="5"/>
    </row>
    <row r="68" spans="1:15">
      <c r="A68" s="2">
        <v>67</v>
      </c>
      <c r="B68" s="4">
        <f>DAY(E68)</f>
        <v>29</v>
      </c>
      <c r="C68" s="4">
        <f>MONTH(E68)</f>
        <v>5</v>
      </c>
      <c r="D68" s="4">
        <f>YEAR(E68)</f>
        <v>2023</v>
      </c>
      <c r="E68" s="17">
        <v>45075</v>
      </c>
      <c r="F68" s="4" t="s">
        <v>90</v>
      </c>
      <c r="G68" s="4" t="s">
        <v>19</v>
      </c>
      <c r="H68" s="4">
        <v>48</v>
      </c>
      <c r="I68" s="4" t="str" cm="1">
        <f t="array" ref="I68">_xlfn.IFS(
  H68&lt;30,"Young Adult",
  H68&lt;50,"Adult",
  H68&gt;=50,"Senior"
)</f>
        <v>Adult</v>
      </c>
      <c r="J68" s="4" t="s">
        <v>16</v>
      </c>
      <c r="K68" s="4">
        <v>4</v>
      </c>
      <c r="L68" s="5">
        <v>300</v>
      </c>
      <c r="M68" s="5">
        <f xml:space="preserve"> K68*L68</f>
        <v>1200</v>
      </c>
      <c r="N68" s="14">
        <f xml:space="preserve"> M68 * $Q$3</f>
        <v>18</v>
      </c>
      <c r="O68" s="5"/>
    </row>
    <row r="69" spans="1:15">
      <c r="A69" s="2">
        <v>68</v>
      </c>
      <c r="B69" s="4">
        <f>DAY(E69)</f>
        <v>10</v>
      </c>
      <c r="C69" s="4">
        <f>MONTH(E69)</f>
        <v>2</v>
      </c>
      <c r="D69" s="4">
        <f>YEAR(E69)</f>
        <v>2023</v>
      </c>
      <c r="E69" s="3">
        <v>44967</v>
      </c>
      <c r="F69" s="4" t="s">
        <v>91</v>
      </c>
      <c r="G69" s="4" t="s">
        <v>15</v>
      </c>
      <c r="H69" s="4">
        <v>25</v>
      </c>
      <c r="I69" s="4" t="str" cm="1">
        <f t="array" ref="I69">_xlfn.IFS(
  H69&lt;30,"Young Adult",
  H69&lt;50,"Adult",
  H69&gt;=50,"Senior"
)</f>
        <v>Young Adult</v>
      </c>
      <c r="J69" s="4" t="s">
        <v>23</v>
      </c>
      <c r="K69" s="4">
        <v>1</v>
      </c>
      <c r="L69" s="5">
        <v>300</v>
      </c>
      <c r="M69" s="5">
        <f xml:space="preserve"> K69*L69</f>
        <v>300</v>
      </c>
      <c r="N69" s="14">
        <f xml:space="preserve"> M69 * $Q$3</f>
        <v>4.5</v>
      </c>
      <c r="O69" s="5"/>
    </row>
    <row r="70" spans="1:15">
      <c r="A70" s="2">
        <v>69</v>
      </c>
      <c r="B70" s="4">
        <f>DAY(E70)</f>
        <v>30</v>
      </c>
      <c r="C70" s="4">
        <f>MONTH(E70)</f>
        <v>4</v>
      </c>
      <c r="D70" s="4">
        <f>YEAR(E70)</f>
        <v>2023</v>
      </c>
      <c r="E70" s="17">
        <v>45046</v>
      </c>
      <c r="F70" s="4" t="s">
        <v>92</v>
      </c>
      <c r="G70" s="4" t="s">
        <v>19</v>
      </c>
      <c r="H70" s="4">
        <v>56</v>
      </c>
      <c r="I70" s="4" t="str" cm="1">
        <f t="array" ref="I70">_xlfn.IFS(
  H70&lt;30,"Young Adult",
  H70&lt;50,"Adult",
  H70&gt;=50,"Senior"
)</f>
        <v>Senior</v>
      </c>
      <c r="J70" s="4" t="s">
        <v>16</v>
      </c>
      <c r="K70" s="4">
        <v>3</v>
      </c>
      <c r="L70" s="5">
        <v>25</v>
      </c>
      <c r="M70" s="5">
        <f xml:space="preserve"> K70*L70</f>
        <v>75</v>
      </c>
      <c r="N70" s="14">
        <f xml:space="preserve"> M70 * $Q$3</f>
        <v>1.125</v>
      </c>
      <c r="O70" s="5"/>
    </row>
    <row r="71" spans="1:15">
      <c r="A71" s="2">
        <v>70</v>
      </c>
      <c r="B71" s="4">
        <f>DAY(E71)</f>
        <v>21</v>
      </c>
      <c r="C71" s="4">
        <f>MONTH(E71)</f>
        <v>2</v>
      </c>
      <c r="D71" s="4">
        <f>YEAR(E71)</f>
        <v>2023</v>
      </c>
      <c r="E71" s="3">
        <v>44978</v>
      </c>
      <c r="F71" s="4" t="s">
        <v>93</v>
      </c>
      <c r="G71" s="4" t="s">
        <v>19</v>
      </c>
      <c r="H71" s="4">
        <v>43</v>
      </c>
      <c r="I71" s="4" t="str" cm="1">
        <f t="array" ref="I71">_xlfn.IFS(
  H71&lt;30,"Young Adult",
  H71&lt;50,"Adult",
  H71&gt;=50,"Senior"
)</f>
        <v>Adult</v>
      </c>
      <c r="J71" s="4" t="s">
        <v>20</v>
      </c>
      <c r="K71" s="4">
        <v>1</v>
      </c>
      <c r="L71" s="5">
        <v>300</v>
      </c>
      <c r="M71" s="5">
        <f xml:space="preserve"> K71*L71</f>
        <v>300</v>
      </c>
      <c r="N71" s="14">
        <f xml:space="preserve"> M71 * $Q$3</f>
        <v>4.5</v>
      </c>
      <c r="O71" s="5"/>
    </row>
    <row r="72" spans="1:15">
      <c r="A72" s="2">
        <v>71</v>
      </c>
      <c r="B72" s="4">
        <f>DAY(E72)</f>
        <v>14</v>
      </c>
      <c r="C72" s="4">
        <f>MONTH(E72)</f>
        <v>7</v>
      </c>
      <c r="D72" s="4">
        <f>YEAR(E72)</f>
        <v>2023</v>
      </c>
      <c r="E72" s="3">
        <v>45121</v>
      </c>
      <c r="F72" s="4" t="s">
        <v>94</v>
      </c>
      <c r="G72" s="4" t="s">
        <v>19</v>
      </c>
      <c r="H72" s="4">
        <v>51</v>
      </c>
      <c r="I72" s="4" t="str" cm="1">
        <f t="array" ref="I72">_xlfn.IFS(
  H72&lt;30,"Young Adult",
  H72&lt;50,"Adult",
  H72&gt;=50,"Senior"
)</f>
        <v>Senior</v>
      </c>
      <c r="J72" s="4" t="s">
        <v>16</v>
      </c>
      <c r="K72" s="4">
        <v>4</v>
      </c>
      <c r="L72" s="5">
        <v>25</v>
      </c>
      <c r="M72" s="5">
        <f xml:space="preserve"> K72*L72</f>
        <v>100</v>
      </c>
      <c r="N72" s="14">
        <f xml:space="preserve"> M72 * $Q$3</f>
        <v>1.5</v>
      </c>
      <c r="O72" s="5"/>
    </row>
    <row r="73" spans="1:15">
      <c r="A73" s="2">
        <v>72</v>
      </c>
      <c r="B73" s="4">
        <f>DAY(E73)</f>
        <v>23</v>
      </c>
      <c r="C73" s="4">
        <f>MONTH(E73)</f>
        <v>5</v>
      </c>
      <c r="D73" s="4">
        <f>YEAR(E73)</f>
        <v>2023</v>
      </c>
      <c r="E73" s="17">
        <v>45069</v>
      </c>
      <c r="F73" s="4" t="s">
        <v>95</v>
      </c>
      <c r="G73" s="4" t="s">
        <v>19</v>
      </c>
      <c r="H73" s="4">
        <v>20</v>
      </c>
      <c r="I73" s="4" t="str" cm="1">
        <f t="array" ref="I73">_xlfn.IFS(
  H73&lt;30,"Young Adult",
  H73&lt;50,"Adult",
  H73&gt;=50,"Senior"
)</f>
        <v>Young Adult</v>
      </c>
      <c r="J73" s="4" t="s">
        <v>23</v>
      </c>
      <c r="K73" s="4">
        <v>4</v>
      </c>
      <c r="L73" s="5">
        <v>500</v>
      </c>
      <c r="M73" s="5">
        <f xml:space="preserve"> K73*L73</f>
        <v>2000</v>
      </c>
      <c r="N73" s="14">
        <f xml:space="preserve"> M73 * $Q$3</f>
        <v>30</v>
      </c>
      <c r="O73" s="5"/>
    </row>
    <row r="74" spans="1:15">
      <c r="A74" s="2">
        <v>73</v>
      </c>
      <c r="B74" s="4">
        <f>DAY(E74)</f>
        <v>21</v>
      </c>
      <c r="C74" s="4">
        <f>MONTH(E74)</f>
        <v>8</v>
      </c>
      <c r="D74" s="4">
        <f>YEAR(E74)</f>
        <v>2023</v>
      </c>
      <c r="E74" s="3">
        <v>45159</v>
      </c>
      <c r="F74" s="4" t="s">
        <v>96</v>
      </c>
      <c r="G74" s="4" t="s">
        <v>15</v>
      </c>
      <c r="H74" s="4">
        <v>29</v>
      </c>
      <c r="I74" s="4" t="str" cm="1">
        <f t="array" ref="I74">_xlfn.IFS(
  H74&lt;30,"Young Adult",
  H74&lt;50,"Adult",
  H74&gt;=50,"Senior"
)</f>
        <v>Young Adult</v>
      </c>
      <c r="J74" s="4" t="s">
        <v>23</v>
      </c>
      <c r="K74" s="4">
        <v>3</v>
      </c>
      <c r="L74" s="5">
        <v>30</v>
      </c>
      <c r="M74" s="5">
        <f xml:space="preserve"> K74*L74</f>
        <v>90</v>
      </c>
      <c r="N74" s="14">
        <f xml:space="preserve"> M74 * $Q$3</f>
        <v>1.3499999999999999</v>
      </c>
      <c r="O74" s="5"/>
    </row>
    <row r="75" spans="1:15">
      <c r="A75" s="2">
        <v>74</v>
      </c>
      <c r="B75" s="4">
        <f>DAY(E75)</f>
        <v>22</v>
      </c>
      <c r="C75" s="4">
        <f>MONTH(E75)</f>
        <v>11</v>
      </c>
      <c r="D75" s="4">
        <f>YEAR(E75)</f>
        <v>2023</v>
      </c>
      <c r="E75" s="3">
        <v>45252</v>
      </c>
      <c r="F75" s="4" t="s">
        <v>97</v>
      </c>
      <c r="G75" s="4" t="s">
        <v>19</v>
      </c>
      <c r="H75" s="4">
        <v>18</v>
      </c>
      <c r="I75" s="4" t="str" cm="1">
        <f t="array" ref="I75">_xlfn.IFS(
  H75&lt;30,"Young Adult",
  H75&lt;50,"Adult",
  H75&gt;=50,"Senior"
)</f>
        <v>Young Adult</v>
      </c>
      <c r="J75" s="4" t="s">
        <v>16</v>
      </c>
      <c r="K75" s="4">
        <v>4</v>
      </c>
      <c r="L75" s="5">
        <v>500</v>
      </c>
      <c r="M75" s="5">
        <f xml:space="preserve"> K75*L75</f>
        <v>2000</v>
      </c>
      <c r="N75" s="14">
        <f xml:space="preserve"> M75 * $Q$3</f>
        <v>30</v>
      </c>
      <c r="O75" s="5"/>
    </row>
    <row r="76" spans="1:15">
      <c r="A76" s="2">
        <v>75</v>
      </c>
      <c r="B76" s="4">
        <f>DAY(E76)</f>
        <v>6</v>
      </c>
      <c r="C76" s="4">
        <f>MONTH(E76)</f>
        <v>7</v>
      </c>
      <c r="D76" s="4">
        <f>YEAR(E76)</f>
        <v>2023</v>
      </c>
      <c r="E76" s="3">
        <v>45113</v>
      </c>
      <c r="F76" s="4" t="s">
        <v>98</v>
      </c>
      <c r="G76" s="4" t="s">
        <v>15</v>
      </c>
      <c r="H76" s="4">
        <v>61</v>
      </c>
      <c r="I76" s="4" t="str" cm="1">
        <f t="array" ref="I76">_xlfn.IFS(
  H76&lt;30,"Young Adult",
  H76&lt;50,"Adult",
  H76&gt;=50,"Senior"
)</f>
        <v>Senior</v>
      </c>
      <c r="J76" s="4" t="s">
        <v>16</v>
      </c>
      <c r="K76" s="4">
        <v>4</v>
      </c>
      <c r="L76" s="5">
        <v>50</v>
      </c>
      <c r="M76" s="5">
        <f xml:space="preserve"> K76*L76</f>
        <v>200</v>
      </c>
      <c r="N76" s="14">
        <f xml:space="preserve"> M76 * $Q$3</f>
        <v>3</v>
      </c>
      <c r="O76" s="5"/>
    </row>
    <row r="77" spans="1:15">
      <c r="A77" s="2">
        <v>76</v>
      </c>
      <c r="B77" s="4">
        <f>DAY(E77)</f>
        <v>25</v>
      </c>
      <c r="C77" s="4">
        <f>MONTH(E77)</f>
        <v>3</v>
      </c>
      <c r="D77" s="4">
        <f>YEAR(E77)</f>
        <v>2023</v>
      </c>
      <c r="E77" s="17">
        <v>45010</v>
      </c>
      <c r="F77" s="4" t="s">
        <v>99</v>
      </c>
      <c r="G77" s="4" t="s">
        <v>19</v>
      </c>
      <c r="H77" s="4">
        <v>22</v>
      </c>
      <c r="I77" s="4" t="str" cm="1">
        <f t="array" ref="I77">_xlfn.IFS(
  H77&lt;30,"Young Adult",
  H77&lt;50,"Adult",
  H77&gt;=50,"Senior"
)</f>
        <v>Young Adult</v>
      </c>
      <c r="J77" s="4" t="s">
        <v>23</v>
      </c>
      <c r="K77" s="4">
        <v>2</v>
      </c>
      <c r="L77" s="5">
        <v>50</v>
      </c>
      <c r="M77" s="5">
        <f xml:space="preserve"> K77*L77</f>
        <v>100</v>
      </c>
      <c r="N77" s="14">
        <f xml:space="preserve"> M77 * $Q$3</f>
        <v>1.5</v>
      </c>
      <c r="O77" s="5"/>
    </row>
    <row r="78" spans="1:15">
      <c r="A78" s="2">
        <v>77</v>
      </c>
      <c r="B78" s="4">
        <f>DAY(E78)</f>
        <v>9</v>
      </c>
      <c r="C78" s="4">
        <f>MONTH(E78)</f>
        <v>7</v>
      </c>
      <c r="D78" s="4">
        <f>YEAR(E78)</f>
        <v>2023</v>
      </c>
      <c r="E78" s="3">
        <v>45116</v>
      </c>
      <c r="F78" s="4" t="s">
        <v>100</v>
      </c>
      <c r="G78" s="4" t="s">
        <v>19</v>
      </c>
      <c r="H78" s="4">
        <v>47</v>
      </c>
      <c r="I78" s="4" t="str" cm="1">
        <f t="array" ref="I78">_xlfn.IFS(
  H78&lt;30,"Young Adult",
  H78&lt;50,"Adult",
  H78&gt;=50,"Senior"
)</f>
        <v>Adult</v>
      </c>
      <c r="J78" s="4" t="s">
        <v>20</v>
      </c>
      <c r="K78" s="4">
        <v>2</v>
      </c>
      <c r="L78" s="5">
        <v>50</v>
      </c>
      <c r="M78" s="5">
        <f xml:space="preserve"> K78*L78</f>
        <v>100</v>
      </c>
      <c r="N78" s="14">
        <f xml:space="preserve"> M78 * $Q$3</f>
        <v>1.5</v>
      </c>
      <c r="O78" s="5"/>
    </row>
    <row r="79" spans="1:15">
      <c r="A79" s="2">
        <v>78</v>
      </c>
      <c r="B79" s="4">
        <f>DAY(E79)</f>
        <v>1</v>
      </c>
      <c r="C79" s="4">
        <f>MONTH(E79)</f>
        <v>7</v>
      </c>
      <c r="D79" s="4">
        <f>YEAR(E79)</f>
        <v>2023</v>
      </c>
      <c r="E79" s="3">
        <v>45108</v>
      </c>
      <c r="F79" s="4" t="s">
        <v>101</v>
      </c>
      <c r="G79" s="4" t="s">
        <v>19</v>
      </c>
      <c r="H79" s="4">
        <v>47</v>
      </c>
      <c r="I79" s="4" t="str" cm="1">
        <f t="array" ref="I79">_xlfn.IFS(
  H79&lt;30,"Young Adult",
  H79&lt;50,"Adult",
  H79&gt;=50,"Senior"
)</f>
        <v>Adult</v>
      </c>
      <c r="J79" s="4" t="s">
        <v>20</v>
      </c>
      <c r="K79" s="4">
        <v>3</v>
      </c>
      <c r="L79" s="5">
        <v>500</v>
      </c>
      <c r="M79" s="5">
        <f xml:space="preserve"> K79*L79</f>
        <v>1500</v>
      </c>
      <c r="N79" s="14">
        <f xml:space="preserve"> M79 * $Q$3</f>
        <v>22.5</v>
      </c>
      <c r="O79" s="5"/>
    </row>
    <row r="80" spans="1:15">
      <c r="A80" s="2">
        <v>79</v>
      </c>
      <c r="B80" s="4">
        <f>DAY(E80)</f>
        <v>18</v>
      </c>
      <c r="C80" s="4">
        <f>MONTH(E80)</f>
        <v>4</v>
      </c>
      <c r="D80" s="4">
        <f>YEAR(E80)</f>
        <v>2023</v>
      </c>
      <c r="E80" s="17">
        <v>45034</v>
      </c>
      <c r="F80" s="4" t="s">
        <v>102</v>
      </c>
      <c r="G80" s="4" t="s">
        <v>15</v>
      </c>
      <c r="H80" s="4">
        <v>34</v>
      </c>
      <c r="I80" s="4" t="str" cm="1">
        <f t="array" ref="I80">_xlfn.IFS(
  H80&lt;30,"Young Adult",
  H80&lt;50,"Adult",
  H80&gt;=50,"Senior"
)</f>
        <v>Adult</v>
      </c>
      <c r="J80" s="4" t="s">
        <v>16</v>
      </c>
      <c r="K80" s="4">
        <v>1</v>
      </c>
      <c r="L80" s="5">
        <v>300</v>
      </c>
      <c r="M80" s="5">
        <f xml:space="preserve"> K80*L80</f>
        <v>300</v>
      </c>
      <c r="N80" s="14">
        <f xml:space="preserve"> M80 * $Q$3</f>
        <v>4.5</v>
      </c>
      <c r="O80" s="5"/>
    </row>
    <row r="81" spans="1:15">
      <c r="A81" s="2">
        <v>80</v>
      </c>
      <c r="B81" s="4">
        <f>DAY(E81)</f>
        <v>10</v>
      </c>
      <c r="C81" s="4">
        <f>MONTH(E81)</f>
        <v>12</v>
      </c>
      <c r="D81" s="4">
        <f>YEAR(E81)</f>
        <v>2023</v>
      </c>
      <c r="E81" s="3">
        <v>45270</v>
      </c>
      <c r="F81" s="4" t="s">
        <v>103</v>
      </c>
      <c r="G81" s="4" t="s">
        <v>19</v>
      </c>
      <c r="H81" s="4">
        <v>64</v>
      </c>
      <c r="I81" s="4" t="str" cm="1">
        <f t="array" ref="I81">_xlfn.IFS(
  H81&lt;30,"Young Adult",
  H81&lt;50,"Adult",
  H81&gt;=50,"Senior"
)</f>
        <v>Senior</v>
      </c>
      <c r="J81" s="4" t="s">
        <v>20</v>
      </c>
      <c r="K81" s="4">
        <v>2</v>
      </c>
      <c r="L81" s="5">
        <v>30</v>
      </c>
      <c r="M81" s="5">
        <f xml:space="preserve"> K81*L81</f>
        <v>60</v>
      </c>
      <c r="N81" s="14">
        <f xml:space="preserve"> M81 * $Q$3</f>
        <v>0.89999999999999991</v>
      </c>
      <c r="O81" s="5"/>
    </row>
    <row r="82" spans="1:15">
      <c r="A82" s="2">
        <v>81</v>
      </c>
      <c r="B82" s="4">
        <f>DAY(E82)</f>
        <v>17</v>
      </c>
      <c r="C82" s="4">
        <f>MONTH(E82)</f>
        <v>5</v>
      </c>
      <c r="D82" s="4">
        <f>YEAR(E82)</f>
        <v>2023</v>
      </c>
      <c r="E82" s="17">
        <v>45063</v>
      </c>
      <c r="F82" s="4" t="s">
        <v>104</v>
      </c>
      <c r="G82" s="4" t="s">
        <v>15</v>
      </c>
      <c r="H82" s="4">
        <v>40</v>
      </c>
      <c r="I82" s="4" t="str" cm="1">
        <f t="array" ref="I82">_xlfn.IFS(
  H82&lt;30,"Young Adult",
  H82&lt;50,"Adult",
  H82&gt;=50,"Senior"
)</f>
        <v>Adult</v>
      </c>
      <c r="J82" s="4" t="s">
        <v>23</v>
      </c>
      <c r="K82" s="4">
        <v>1</v>
      </c>
      <c r="L82" s="5">
        <v>50</v>
      </c>
      <c r="M82" s="5">
        <f xml:space="preserve"> K82*L82</f>
        <v>50</v>
      </c>
      <c r="N82" s="14">
        <f xml:space="preserve"> M82 * $Q$3</f>
        <v>0.75</v>
      </c>
      <c r="O82" s="5"/>
    </row>
    <row r="83" spans="1:15">
      <c r="A83" s="2">
        <v>82</v>
      </c>
      <c r="B83" s="4">
        <f>DAY(E83)</f>
        <v>26</v>
      </c>
      <c r="C83" s="4">
        <f>MONTH(E83)</f>
        <v>12</v>
      </c>
      <c r="D83" s="4">
        <f>YEAR(E83)</f>
        <v>2023</v>
      </c>
      <c r="E83" s="3">
        <v>45286</v>
      </c>
      <c r="F83" s="4" t="s">
        <v>105</v>
      </c>
      <c r="G83" s="4" t="s">
        <v>19</v>
      </c>
      <c r="H83" s="4">
        <v>32</v>
      </c>
      <c r="I83" s="4" t="str" cm="1">
        <f t="array" ref="I83">_xlfn.IFS(
  H83&lt;30,"Young Adult",
  H83&lt;50,"Adult",
  H83&gt;=50,"Senior"
)</f>
        <v>Adult</v>
      </c>
      <c r="J83" s="4" t="s">
        <v>16</v>
      </c>
      <c r="K83" s="4">
        <v>4</v>
      </c>
      <c r="L83" s="5">
        <v>50</v>
      </c>
      <c r="M83" s="5">
        <f xml:space="preserve"> K83*L83</f>
        <v>200</v>
      </c>
      <c r="N83" s="14">
        <f xml:space="preserve"> M83 * $Q$3</f>
        <v>3</v>
      </c>
      <c r="O83" s="5"/>
    </row>
    <row r="84" spans="1:15">
      <c r="A84" s="2">
        <v>83</v>
      </c>
      <c r="B84" s="4">
        <f>DAY(E84)</f>
        <v>16</v>
      </c>
      <c r="C84" s="4">
        <f>MONTH(E84)</f>
        <v>12</v>
      </c>
      <c r="D84" s="4">
        <f>YEAR(E84)</f>
        <v>2023</v>
      </c>
      <c r="E84" s="3">
        <v>45276</v>
      </c>
      <c r="F84" s="4" t="s">
        <v>106</v>
      </c>
      <c r="G84" s="4" t="s">
        <v>15</v>
      </c>
      <c r="H84" s="4">
        <v>54</v>
      </c>
      <c r="I84" s="4" t="str" cm="1">
        <f t="array" ref="I84">_xlfn.IFS(
  H84&lt;30,"Young Adult",
  H84&lt;50,"Adult",
  H84&gt;=50,"Senior"
)</f>
        <v>Senior</v>
      </c>
      <c r="J84" s="4" t="s">
        <v>23</v>
      </c>
      <c r="K84" s="4">
        <v>2</v>
      </c>
      <c r="L84" s="5">
        <v>50</v>
      </c>
      <c r="M84" s="5">
        <f xml:space="preserve"> K84*L84</f>
        <v>100</v>
      </c>
      <c r="N84" s="14">
        <f xml:space="preserve"> M84 * $Q$3</f>
        <v>1.5</v>
      </c>
      <c r="O84" s="5"/>
    </row>
    <row r="85" spans="1:15">
      <c r="A85" s="2">
        <v>84</v>
      </c>
      <c r="B85" s="4">
        <f>DAY(E85)</f>
        <v>28</v>
      </c>
      <c r="C85" s="4">
        <f>MONTH(E85)</f>
        <v>11</v>
      </c>
      <c r="D85" s="4">
        <f>YEAR(E85)</f>
        <v>2023</v>
      </c>
      <c r="E85" s="3">
        <v>45258</v>
      </c>
      <c r="F85" s="4" t="s">
        <v>107</v>
      </c>
      <c r="G85" s="4" t="s">
        <v>19</v>
      </c>
      <c r="H85" s="4">
        <v>38</v>
      </c>
      <c r="I85" s="4" t="str" cm="1">
        <f t="array" ref="I85">_xlfn.IFS(
  H85&lt;30,"Young Adult",
  H85&lt;50,"Adult",
  H85&gt;=50,"Senior"
)</f>
        <v>Adult</v>
      </c>
      <c r="J85" s="4" t="s">
        <v>23</v>
      </c>
      <c r="K85" s="4">
        <v>3</v>
      </c>
      <c r="L85" s="5">
        <v>30</v>
      </c>
      <c r="M85" s="5">
        <f xml:space="preserve"> K85*L85</f>
        <v>90</v>
      </c>
      <c r="N85" s="14">
        <f xml:space="preserve"> M85 * $Q$3</f>
        <v>1.3499999999999999</v>
      </c>
      <c r="O85" s="5"/>
    </row>
    <row r="86" spans="1:15">
      <c r="A86" s="2">
        <v>85</v>
      </c>
      <c r="B86" s="4">
        <f>DAY(E86)</f>
        <v>6</v>
      </c>
      <c r="C86" s="4">
        <f>MONTH(E86)</f>
        <v>2</v>
      </c>
      <c r="D86" s="4">
        <f>YEAR(E86)</f>
        <v>2023</v>
      </c>
      <c r="E86" s="3">
        <v>44963</v>
      </c>
      <c r="F86" s="4" t="s">
        <v>108</v>
      </c>
      <c r="G86" s="4" t="s">
        <v>15</v>
      </c>
      <c r="H86" s="4">
        <v>31</v>
      </c>
      <c r="I86" s="4" t="str" cm="1">
        <f t="array" ref="I86">_xlfn.IFS(
  H86&lt;30,"Young Adult",
  H86&lt;50,"Adult",
  H86&gt;=50,"Senior"
)</f>
        <v>Adult</v>
      </c>
      <c r="J86" s="4" t="s">
        <v>20</v>
      </c>
      <c r="K86" s="4">
        <v>3</v>
      </c>
      <c r="L86" s="5">
        <v>50</v>
      </c>
      <c r="M86" s="5">
        <f xml:space="preserve"> K86*L86</f>
        <v>150</v>
      </c>
      <c r="N86" s="14">
        <f xml:space="preserve"> M86 * $Q$3</f>
        <v>2.25</v>
      </c>
      <c r="O86" s="5"/>
    </row>
    <row r="87" spans="1:15">
      <c r="A87" s="2">
        <v>86</v>
      </c>
      <c r="B87" s="4">
        <f>DAY(E87)</f>
        <v>8</v>
      </c>
      <c r="C87" s="4">
        <f>MONTH(E87)</f>
        <v>11</v>
      </c>
      <c r="D87" s="4">
        <f>YEAR(E87)</f>
        <v>2023</v>
      </c>
      <c r="E87" s="3">
        <v>45238</v>
      </c>
      <c r="F87" s="4" t="s">
        <v>109</v>
      </c>
      <c r="G87" s="4" t="s">
        <v>15</v>
      </c>
      <c r="H87" s="4">
        <v>19</v>
      </c>
      <c r="I87" s="4" t="str" cm="1">
        <f t="array" ref="I87">_xlfn.IFS(
  H87&lt;30,"Young Adult",
  H87&lt;50,"Adult",
  H87&gt;=50,"Senior"
)</f>
        <v>Young Adult</v>
      </c>
      <c r="J87" s="4" t="s">
        <v>16</v>
      </c>
      <c r="K87" s="4">
        <v>3</v>
      </c>
      <c r="L87" s="5">
        <v>30</v>
      </c>
      <c r="M87" s="5">
        <f xml:space="preserve"> K87*L87</f>
        <v>90</v>
      </c>
      <c r="N87" s="14">
        <f xml:space="preserve"> M87 * $Q$3</f>
        <v>1.3499999999999999</v>
      </c>
      <c r="O87" s="5"/>
    </row>
    <row r="88" spans="1:15">
      <c r="A88" s="2">
        <v>87</v>
      </c>
      <c r="B88" s="4">
        <f>DAY(E88)</f>
        <v>22</v>
      </c>
      <c r="C88" s="4">
        <f>MONTH(E88)</f>
        <v>11</v>
      </c>
      <c r="D88" s="4">
        <f>YEAR(E88)</f>
        <v>2023</v>
      </c>
      <c r="E88" s="3">
        <v>45252</v>
      </c>
      <c r="F88" s="4" t="s">
        <v>110</v>
      </c>
      <c r="G88" s="4" t="s">
        <v>19</v>
      </c>
      <c r="H88" s="4">
        <v>28</v>
      </c>
      <c r="I88" s="4" t="str" cm="1">
        <f t="array" ref="I88">_xlfn.IFS(
  H88&lt;30,"Young Adult",
  H88&lt;50,"Adult",
  H88&gt;=50,"Senior"
)</f>
        <v>Young Adult</v>
      </c>
      <c r="J88" s="4" t="s">
        <v>16</v>
      </c>
      <c r="K88" s="4">
        <v>2</v>
      </c>
      <c r="L88" s="5">
        <v>50</v>
      </c>
      <c r="M88" s="5">
        <f xml:space="preserve"> K88*L88</f>
        <v>100</v>
      </c>
      <c r="N88" s="14">
        <f xml:space="preserve"> M88 * $Q$3</f>
        <v>1.5</v>
      </c>
      <c r="O88" s="5"/>
    </row>
    <row r="89" spans="1:15">
      <c r="A89" s="2">
        <v>88</v>
      </c>
      <c r="B89" s="4">
        <f>DAY(E89)</f>
        <v>29</v>
      </c>
      <c r="C89" s="4">
        <f>MONTH(E89)</f>
        <v>3</v>
      </c>
      <c r="D89" s="4">
        <f>YEAR(E89)</f>
        <v>2023</v>
      </c>
      <c r="E89" s="17">
        <v>45014</v>
      </c>
      <c r="F89" s="4" t="s">
        <v>111</v>
      </c>
      <c r="G89" s="4" t="s">
        <v>15</v>
      </c>
      <c r="H89" s="4">
        <v>56</v>
      </c>
      <c r="I89" s="4" t="str" cm="1">
        <f t="array" ref="I89">_xlfn.IFS(
  H89&lt;30,"Young Adult",
  H89&lt;50,"Adult",
  H89&gt;=50,"Senior"
)</f>
        <v>Senior</v>
      </c>
      <c r="J89" s="4" t="s">
        <v>20</v>
      </c>
      <c r="K89" s="4">
        <v>1</v>
      </c>
      <c r="L89" s="5">
        <v>500</v>
      </c>
      <c r="M89" s="5">
        <f xml:space="preserve"> K89*L89</f>
        <v>500</v>
      </c>
      <c r="N89" s="14">
        <f xml:space="preserve"> M89 * $Q$3</f>
        <v>7.5</v>
      </c>
      <c r="O89" s="5"/>
    </row>
    <row r="90" spans="1:15">
      <c r="A90" s="2">
        <v>89</v>
      </c>
      <c r="B90" s="4">
        <f>DAY(E90)</f>
        <v>1</v>
      </c>
      <c r="C90" s="4">
        <f>MONTH(E90)</f>
        <v>10</v>
      </c>
      <c r="D90" s="4">
        <f>YEAR(E90)</f>
        <v>2023</v>
      </c>
      <c r="E90" s="3">
        <v>45200</v>
      </c>
      <c r="F90" s="4" t="s">
        <v>112</v>
      </c>
      <c r="G90" s="4" t="s">
        <v>19</v>
      </c>
      <c r="H90" s="4">
        <v>55</v>
      </c>
      <c r="I90" s="4" t="str" cm="1">
        <f t="array" ref="I90">_xlfn.IFS(
  H90&lt;30,"Young Adult",
  H90&lt;50,"Adult",
  H90&gt;=50,"Senior"
)</f>
        <v>Senior</v>
      </c>
      <c r="J90" s="4" t="s">
        <v>23</v>
      </c>
      <c r="K90" s="4">
        <v>4</v>
      </c>
      <c r="L90" s="5">
        <v>500</v>
      </c>
      <c r="M90" s="5">
        <f xml:space="preserve"> K90*L90</f>
        <v>2000</v>
      </c>
      <c r="N90" s="14">
        <f xml:space="preserve"> M90 * $Q$3</f>
        <v>30</v>
      </c>
      <c r="O90" s="5"/>
    </row>
    <row r="91" spans="1:15">
      <c r="A91" s="2">
        <v>90</v>
      </c>
      <c r="B91" s="4">
        <f>DAY(E91)</f>
        <v>6</v>
      </c>
      <c r="C91" s="4">
        <f>MONTH(E91)</f>
        <v>5</v>
      </c>
      <c r="D91" s="4">
        <f>YEAR(E91)</f>
        <v>2023</v>
      </c>
      <c r="E91" s="17">
        <v>45052</v>
      </c>
      <c r="F91" s="4" t="s">
        <v>113</v>
      </c>
      <c r="G91" s="4" t="s">
        <v>19</v>
      </c>
      <c r="H91" s="4">
        <v>51</v>
      </c>
      <c r="I91" s="4" t="str" cm="1">
        <f t="array" ref="I91">_xlfn.IFS(
  H91&lt;30,"Young Adult",
  H91&lt;50,"Adult",
  H91&gt;=50,"Senior"
)</f>
        <v>Senior</v>
      </c>
      <c r="J91" s="4" t="s">
        <v>23</v>
      </c>
      <c r="K91" s="4">
        <v>1</v>
      </c>
      <c r="L91" s="5">
        <v>30</v>
      </c>
      <c r="M91" s="5">
        <f xml:space="preserve"> K91*L91</f>
        <v>30</v>
      </c>
      <c r="N91" s="14">
        <f xml:space="preserve"> M91 * $Q$3</f>
        <v>0.44999999999999996</v>
      </c>
      <c r="O91" s="5"/>
    </row>
    <row r="92" spans="1:15">
      <c r="A92" s="2">
        <v>91</v>
      </c>
      <c r="B92" s="4">
        <f>DAY(E92)</f>
        <v>25</v>
      </c>
      <c r="C92" s="4">
        <f>MONTH(E92)</f>
        <v>3</v>
      </c>
      <c r="D92" s="4">
        <f>YEAR(E92)</f>
        <v>2023</v>
      </c>
      <c r="E92" s="17">
        <v>45010</v>
      </c>
      <c r="F92" s="4" t="s">
        <v>114</v>
      </c>
      <c r="G92" s="4" t="s">
        <v>19</v>
      </c>
      <c r="H92" s="4">
        <v>55</v>
      </c>
      <c r="I92" s="4" t="str" cm="1">
        <f t="array" ref="I92">_xlfn.IFS(
  H92&lt;30,"Young Adult",
  H92&lt;50,"Adult",
  H92&gt;=50,"Senior"
)</f>
        <v>Senior</v>
      </c>
      <c r="J92" s="4" t="s">
        <v>23</v>
      </c>
      <c r="K92" s="4">
        <v>1</v>
      </c>
      <c r="L92" s="5">
        <v>500</v>
      </c>
      <c r="M92" s="5">
        <f xml:space="preserve"> K92*L92</f>
        <v>500</v>
      </c>
      <c r="N92" s="14">
        <f xml:space="preserve"> M92 * $Q$3</f>
        <v>7.5</v>
      </c>
      <c r="O92" s="5"/>
    </row>
    <row r="93" spans="1:15">
      <c r="A93" s="2">
        <v>92</v>
      </c>
      <c r="B93" s="4">
        <f>DAY(E93)</f>
        <v>25</v>
      </c>
      <c r="C93" s="4">
        <f>MONTH(E93)</f>
        <v>8</v>
      </c>
      <c r="D93" s="4">
        <f>YEAR(E93)</f>
        <v>2023</v>
      </c>
      <c r="E93" s="3">
        <v>45163</v>
      </c>
      <c r="F93" s="4" t="s">
        <v>115</v>
      </c>
      <c r="G93" s="4" t="s">
        <v>19</v>
      </c>
      <c r="H93" s="4">
        <v>51</v>
      </c>
      <c r="I93" s="4" t="str" cm="1">
        <f t="array" ref="I93">_xlfn.IFS(
  H93&lt;30,"Young Adult",
  H93&lt;50,"Adult",
  H93&gt;=50,"Senior"
)</f>
        <v>Senior</v>
      </c>
      <c r="J93" s="4" t="s">
        <v>23</v>
      </c>
      <c r="K93" s="4">
        <v>4</v>
      </c>
      <c r="L93" s="5">
        <v>30</v>
      </c>
      <c r="M93" s="5">
        <f xml:space="preserve"> K93*L93</f>
        <v>120</v>
      </c>
      <c r="N93" s="14">
        <f xml:space="preserve"> M93 * $Q$3</f>
        <v>1.7999999999999998</v>
      </c>
      <c r="O93" s="5"/>
    </row>
    <row r="94" spans="1:15">
      <c r="A94" s="2">
        <v>93</v>
      </c>
      <c r="B94" s="4">
        <f>DAY(E94)</f>
        <v>14</v>
      </c>
      <c r="C94" s="4">
        <f>MONTH(E94)</f>
        <v>7</v>
      </c>
      <c r="D94" s="4">
        <f>YEAR(E94)</f>
        <v>2023</v>
      </c>
      <c r="E94" s="3">
        <v>45121</v>
      </c>
      <c r="F94" s="4" t="s">
        <v>116</v>
      </c>
      <c r="G94" s="4" t="s">
        <v>19</v>
      </c>
      <c r="H94" s="4">
        <v>35</v>
      </c>
      <c r="I94" s="4" t="str" cm="1">
        <f t="array" ref="I94">_xlfn.IFS(
  H94&lt;30,"Young Adult",
  H94&lt;50,"Adult",
  H94&gt;=50,"Senior"
)</f>
        <v>Adult</v>
      </c>
      <c r="J94" s="4" t="s">
        <v>16</v>
      </c>
      <c r="K94" s="4">
        <v>4</v>
      </c>
      <c r="L94" s="5">
        <v>500</v>
      </c>
      <c r="M94" s="5">
        <f xml:space="preserve"> K94*L94</f>
        <v>2000</v>
      </c>
      <c r="N94" s="14">
        <f xml:space="preserve"> M94 * $Q$3</f>
        <v>30</v>
      </c>
      <c r="O94" s="5"/>
    </row>
    <row r="95" spans="1:15">
      <c r="A95" s="2">
        <v>94</v>
      </c>
      <c r="B95" s="4">
        <f>DAY(E95)</f>
        <v>19</v>
      </c>
      <c r="C95" s="4">
        <f>MONTH(E95)</f>
        <v>5</v>
      </c>
      <c r="D95" s="4">
        <f>YEAR(E95)</f>
        <v>2023</v>
      </c>
      <c r="E95" s="17">
        <v>45065</v>
      </c>
      <c r="F95" s="4" t="s">
        <v>117</v>
      </c>
      <c r="G95" s="4" t="s">
        <v>19</v>
      </c>
      <c r="H95" s="4">
        <v>47</v>
      </c>
      <c r="I95" s="4" t="str" cm="1">
        <f t="array" ref="I95">_xlfn.IFS(
  H95&lt;30,"Young Adult",
  H95&lt;50,"Adult",
  H95&gt;=50,"Senior"
)</f>
        <v>Adult</v>
      </c>
      <c r="J95" s="4" t="s">
        <v>16</v>
      </c>
      <c r="K95" s="4">
        <v>2</v>
      </c>
      <c r="L95" s="5">
        <v>500</v>
      </c>
      <c r="M95" s="5">
        <f xml:space="preserve"> K95*L95</f>
        <v>1000</v>
      </c>
      <c r="N95" s="14">
        <f xml:space="preserve"> M95 * $Q$3</f>
        <v>15</v>
      </c>
      <c r="O95" s="5"/>
    </row>
    <row r="96" spans="1:15">
      <c r="A96" s="2">
        <v>95</v>
      </c>
      <c r="B96" s="4">
        <f>DAY(E96)</f>
        <v>24</v>
      </c>
      <c r="C96" s="4">
        <f>MONTH(E96)</f>
        <v>11</v>
      </c>
      <c r="D96" s="4">
        <f>YEAR(E96)</f>
        <v>2023</v>
      </c>
      <c r="E96" s="3">
        <v>45254</v>
      </c>
      <c r="F96" s="4" t="s">
        <v>118</v>
      </c>
      <c r="G96" s="4" t="s">
        <v>19</v>
      </c>
      <c r="H96" s="4">
        <v>32</v>
      </c>
      <c r="I96" s="4" t="str" cm="1">
        <f t="array" ref="I96">_xlfn.IFS(
  H96&lt;30,"Young Adult",
  H96&lt;50,"Adult",
  H96&gt;=50,"Senior"
)</f>
        <v>Adult</v>
      </c>
      <c r="J96" s="4" t="s">
        <v>20</v>
      </c>
      <c r="K96" s="4">
        <v>2</v>
      </c>
      <c r="L96" s="5">
        <v>30</v>
      </c>
      <c r="M96" s="5">
        <f xml:space="preserve"> K96*L96</f>
        <v>60</v>
      </c>
      <c r="N96" s="14">
        <f xml:space="preserve"> M96 * $Q$3</f>
        <v>0.89999999999999991</v>
      </c>
      <c r="O96" s="5"/>
    </row>
    <row r="97" spans="1:15">
      <c r="A97" s="2">
        <v>96</v>
      </c>
      <c r="B97" s="4">
        <f>DAY(E97)</f>
        <v>19</v>
      </c>
      <c r="C97" s="4">
        <f>MONTH(E97)</f>
        <v>12</v>
      </c>
      <c r="D97" s="4">
        <f>YEAR(E97)</f>
        <v>2023</v>
      </c>
      <c r="E97" s="3">
        <v>45279</v>
      </c>
      <c r="F97" s="4" t="s">
        <v>119</v>
      </c>
      <c r="G97" s="4" t="s">
        <v>19</v>
      </c>
      <c r="H97" s="4">
        <v>44</v>
      </c>
      <c r="I97" s="4" t="str" cm="1">
        <f t="array" ref="I97">_xlfn.IFS(
  H97&lt;30,"Young Adult",
  H97&lt;50,"Adult",
  H97&gt;=50,"Senior"
)</f>
        <v>Adult</v>
      </c>
      <c r="J97" s="4" t="s">
        <v>20</v>
      </c>
      <c r="K97" s="4">
        <v>2</v>
      </c>
      <c r="L97" s="5">
        <v>300</v>
      </c>
      <c r="M97" s="5">
        <f xml:space="preserve"> K97*L97</f>
        <v>600</v>
      </c>
      <c r="N97" s="14">
        <f xml:space="preserve"> M97 * $Q$3</f>
        <v>9</v>
      </c>
      <c r="O97" s="5"/>
    </row>
    <row r="98" spans="1:15">
      <c r="A98" s="2">
        <v>97</v>
      </c>
      <c r="B98" s="4">
        <f>DAY(E98)</f>
        <v>13</v>
      </c>
      <c r="C98" s="4">
        <f>MONTH(E98)</f>
        <v>10</v>
      </c>
      <c r="D98" s="4">
        <f>YEAR(E98)</f>
        <v>2023</v>
      </c>
      <c r="E98" s="3">
        <v>45212</v>
      </c>
      <c r="F98" s="4" t="s">
        <v>120</v>
      </c>
      <c r="G98" s="4" t="s">
        <v>19</v>
      </c>
      <c r="H98" s="4">
        <v>51</v>
      </c>
      <c r="I98" s="4" t="str" cm="1">
        <f t="array" ref="I98">_xlfn.IFS(
  H98&lt;30,"Young Adult",
  H98&lt;50,"Adult",
  H98&gt;=50,"Senior"
)</f>
        <v>Senior</v>
      </c>
      <c r="J98" s="4" t="s">
        <v>16</v>
      </c>
      <c r="K98" s="4">
        <v>2</v>
      </c>
      <c r="L98" s="5">
        <v>500</v>
      </c>
      <c r="M98" s="5">
        <f xml:space="preserve"> K98*L98</f>
        <v>1000</v>
      </c>
      <c r="N98" s="14">
        <f xml:space="preserve"> M98 * $Q$3</f>
        <v>15</v>
      </c>
      <c r="O98" s="5"/>
    </row>
    <row r="99" spans="1:15">
      <c r="A99" s="2">
        <v>98</v>
      </c>
      <c r="B99" s="4">
        <f>DAY(E99)</f>
        <v>23</v>
      </c>
      <c r="C99" s="4">
        <f>MONTH(E99)</f>
        <v>4</v>
      </c>
      <c r="D99" s="4">
        <f>YEAR(E99)</f>
        <v>2023</v>
      </c>
      <c r="E99" s="17">
        <v>45039</v>
      </c>
      <c r="F99" s="4" t="s">
        <v>121</v>
      </c>
      <c r="G99" s="4" t="s">
        <v>19</v>
      </c>
      <c r="H99" s="4">
        <v>55</v>
      </c>
      <c r="I99" s="4" t="str" cm="1">
        <f t="array" ref="I99">_xlfn.IFS(
  H99&lt;30,"Young Adult",
  H99&lt;50,"Adult",
  H99&gt;=50,"Senior"
)</f>
        <v>Senior</v>
      </c>
      <c r="J99" s="4" t="s">
        <v>16</v>
      </c>
      <c r="K99" s="4">
        <v>2</v>
      </c>
      <c r="L99" s="5">
        <v>50</v>
      </c>
      <c r="M99" s="5">
        <f xml:space="preserve"> K99*L99</f>
        <v>100</v>
      </c>
      <c r="N99" s="14">
        <f xml:space="preserve"> M99 * $Q$3</f>
        <v>1.5</v>
      </c>
      <c r="O99" s="5"/>
    </row>
    <row r="100" spans="1:15">
      <c r="A100" s="2">
        <v>99</v>
      </c>
      <c r="B100" s="4">
        <f>DAY(E100)</f>
        <v>17</v>
      </c>
      <c r="C100" s="4">
        <f>MONTH(E100)</f>
        <v>12</v>
      </c>
      <c r="D100" s="4">
        <f>YEAR(E100)</f>
        <v>2023</v>
      </c>
      <c r="E100" s="3">
        <v>45277</v>
      </c>
      <c r="F100" s="4" t="s">
        <v>122</v>
      </c>
      <c r="G100" s="4" t="s">
        <v>19</v>
      </c>
      <c r="H100" s="4">
        <v>50</v>
      </c>
      <c r="I100" s="4" t="str" cm="1">
        <f t="array" ref="I100">_xlfn.IFS(
  H100&lt;30,"Young Adult",
  H100&lt;50,"Adult",
  H100&gt;=50,"Senior"
)</f>
        <v>Senior</v>
      </c>
      <c r="J100" s="4" t="s">
        <v>23</v>
      </c>
      <c r="K100" s="4">
        <v>4</v>
      </c>
      <c r="L100" s="5">
        <v>300</v>
      </c>
      <c r="M100" s="5">
        <f xml:space="preserve"> K100*L100</f>
        <v>1200</v>
      </c>
      <c r="N100" s="14">
        <f xml:space="preserve"> M100 * $Q$3</f>
        <v>18</v>
      </c>
      <c r="O100" s="5"/>
    </row>
    <row r="101" spans="1:15">
      <c r="A101" s="2">
        <v>100</v>
      </c>
      <c r="B101" s="4">
        <f>DAY(E101)</f>
        <v>16</v>
      </c>
      <c r="C101" s="4">
        <f>MONTH(E101)</f>
        <v>6</v>
      </c>
      <c r="D101" s="4">
        <f>YEAR(E101)</f>
        <v>2023</v>
      </c>
      <c r="E101" s="3">
        <v>45093</v>
      </c>
      <c r="F101" s="4" t="s">
        <v>123</v>
      </c>
      <c r="G101" s="4" t="s">
        <v>15</v>
      </c>
      <c r="H101" s="4">
        <v>41</v>
      </c>
      <c r="I101" s="4" t="str" cm="1">
        <f t="array" ref="I101">_xlfn.IFS(
  H101&lt;30,"Young Adult",
  H101&lt;50,"Adult",
  H101&gt;=50,"Senior"
)</f>
        <v>Adult</v>
      </c>
      <c r="J101" s="4" t="s">
        <v>23</v>
      </c>
      <c r="K101" s="4">
        <v>1</v>
      </c>
      <c r="L101" s="5">
        <v>30</v>
      </c>
      <c r="M101" s="5">
        <f xml:space="preserve"> K101*L101</f>
        <v>30</v>
      </c>
      <c r="N101" s="14">
        <f xml:space="preserve"> M101 * $Q$3</f>
        <v>0.44999999999999996</v>
      </c>
      <c r="O101" s="5"/>
    </row>
    <row r="102" spans="1:15">
      <c r="A102" s="2">
        <v>101</v>
      </c>
      <c r="B102" s="4">
        <f>DAY(E102)</f>
        <v>29</v>
      </c>
      <c r="C102" s="4">
        <f>MONTH(E102)</f>
        <v>1</v>
      </c>
      <c r="D102" s="4">
        <f>YEAR(E102)</f>
        <v>2023</v>
      </c>
      <c r="E102" s="3">
        <v>44955</v>
      </c>
      <c r="F102" s="4" t="s">
        <v>124</v>
      </c>
      <c r="G102" s="4" t="s">
        <v>15</v>
      </c>
      <c r="H102" s="4">
        <v>32</v>
      </c>
      <c r="I102" s="4" t="str" cm="1">
        <f t="array" ref="I102">_xlfn.IFS(
  H102&lt;30,"Young Adult",
  H102&lt;50,"Adult",
  H102&gt;=50,"Senior"
)</f>
        <v>Adult</v>
      </c>
      <c r="J102" s="4" t="s">
        <v>20</v>
      </c>
      <c r="K102" s="4">
        <v>2</v>
      </c>
      <c r="L102" s="5">
        <v>300</v>
      </c>
      <c r="M102" s="5">
        <f xml:space="preserve"> K102*L102</f>
        <v>600</v>
      </c>
      <c r="N102" s="14">
        <f xml:space="preserve"> M102 * $Q$3</f>
        <v>9</v>
      </c>
      <c r="O102" s="5"/>
    </row>
    <row r="103" spans="1:15">
      <c r="A103" s="2">
        <v>102</v>
      </c>
      <c r="B103" s="4">
        <f>DAY(E103)</f>
        <v>28</v>
      </c>
      <c r="C103" s="4">
        <f>MONTH(E103)</f>
        <v>4</v>
      </c>
      <c r="D103" s="4">
        <f>YEAR(E103)</f>
        <v>2023</v>
      </c>
      <c r="E103" s="17">
        <v>45044</v>
      </c>
      <c r="F103" s="4" t="s">
        <v>125</v>
      </c>
      <c r="G103" s="4" t="s">
        <v>19</v>
      </c>
      <c r="H103" s="4">
        <v>47</v>
      </c>
      <c r="I103" s="4" t="str" cm="1">
        <f t="array" ref="I103">_xlfn.IFS(
  H103&lt;30,"Young Adult",
  H103&lt;50,"Adult",
  H103&gt;=50,"Senior"
)</f>
        <v>Adult</v>
      </c>
      <c r="J103" s="4" t="s">
        <v>16</v>
      </c>
      <c r="K103" s="4">
        <v>2</v>
      </c>
      <c r="L103" s="5">
        <v>25</v>
      </c>
      <c r="M103" s="5">
        <f xml:space="preserve"> K103*L103</f>
        <v>50</v>
      </c>
      <c r="N103" s="14">
        <f xml:space="preserve"> M103 * $Q$3</f>
        <v>0.75</v>
      </c>
      <c r="O103" s="5"/>
    </row>
    <row r="104" spans="1:15">
      <c r="A104" s="2">
        <v>103</v>
      </c>
      <c r="B104" s="4">
        <f>DAY(E104)</f>
        <v>17</v>
      </c>
      <c r="C104" s="4">
        <f>MONTH(E104)</f>
        <v>1</v>
      </c>
      <c r="D104" s="4">
        <f>YEAR(E104)</f>
        <v>2023</v>
      </c>
      <c r="E104" s="3">
        <v>44943</v>
      </c>
      <c r="F104" s="4" t="s">
        <v>126</v>
      </c>
      <c r="G104" s="4" t="s">
        <v>19</v>
      </c>
      <c r="H104" s="4">
        <v>59</v>
      </c>
      <c r="I104" s="4" t="str" cm="1">
        <f t="array" ref="I104">_xlfn.IFS(
  H104&lt;30,"Young Adult",
  H104&lt;50,"Adult",
  H104&gt;=50,"Senior"
)</f>
        <v>Senior</v>
      </c>
      <c r="J104" s="4" t="s">
        <v>20</v>
      </c>
      <c r="K104" s="4">
        <v>1</v>
      </c>
      <c r="L104" s="5">
        <v>25</v>
      </c>
      <c r="M104" s="5">
        <f xml:space="preserve"> K104*L104</f>
        <v>25</v>
      </c>
      <c r="N104" s="14">
        <f xml:space="preserve"> M104 * $Q$3</f>
        <v>0.375</v>
      </c>
      <c r="O104" s="5"/>
    </row>
    <row r="105" spans="1:15">
      <c r="A105" s="2">
        <v>104</v>
      </c>
      <c r="B105" s="4">
        <f>DAY(E105)</f>
        <v>11</v>
      </c>
      <c r="C105" s="4">
        <f>MONTH(E105)</f>
        <v>6</v>
      </c>
      <c r="D105" s="4">
        <f>YEAR(E105)</f>
        <v>2023</v>
      </c>
      <c r="E105" s="3">
        <v>45088</v>
      </c>
      <c r="F105" s="4" t="s">
        <v>127</v>
      </c>
      <c r="G105" s="4" t="s">
        <v>19</v>
      </c>
      <c r="H105" s="4">
        <v>34</v>
      </c>
      <c r="I105" s="4" t="str" cm="1">
        <f t="array" ref="I105">_xlfn.IFS(
  H105&lt;30,"Young Adult",
  H105&lt;50,"Adult",
  H105&gt;=50,"Senior"
)</f>
        <v>Adult</v>
      </c>
      <c r="J105" s="4" t="s">
        <v>16</v>
      </c>
      <c r="K105" s="4">
        <v>2</v>
      </c>
      <c r="L105" s="5">
        <v>500</v>
      </c>
      <c r="M105" s="5">
        <f xml:space="preserve"> K105*L105</f>
        <v>1000</v>
      </c>
      <c r="N105" s="14">
        <f xml:space="preserve"> M105 * $Q$3</f>
        <v>15</v>
      </c>
      <c r="O105" s="5"/>
    </row>
    <row r="106" spans="1:15">
      <c r="A106" s="2">
        <v>105</v>
      </c>
      <c r="B106" s="4">
        <f>DAY(E106)</f>
        <v>25</v>
      </c>
      <c r="C106" s="4">
        <f>MONTH(E106)</f>
        <v>7</v>
      </c>
      <c r="D106" s="4">
        <f>YEAR(E106)</f>
        <v>2023</v>
      </c>
      <c r="E106" s="3">
        <v>45132</v>
      </c>
      <c r="F106" s="4" t="s">
        <v>128</v>
      </c>
      <c r="G106" s="4" t="s">
        <v>19</v>
      </c>
      <c r="H106" s="4">
        <v>22</v>
      </c>
      <c r="I106" s="4" t="str" cm="1">
        <f t="array" ref="I106">_xlfn.IFS(
  H106&lt;30,"Young Adult",
  H106&lt;50,"Adult",
  H106&gt;=50,"Senior"
)</f>
        <v>Young Adult</v>
      </c>
      <c r="J106" s="4" t="s">
        <v>23</v>
      </c>
      <c r="K106" s="4">
        <v>1</v>
      </c>
      <c r="L106" s="5">
        <v>500</v>
      </c>
      <c r="M106" s="5">
        <f xml:space="preserve"> K106*L106</f>
        <v>500</v>
      </c>
      <c r="N106" s="14">
        <f xml:space="preserve"> M106 * $Q$3</f>
        <v>7.5</v>
      </c>
      <c r="O106" s="5"/>
    </row>
    <row r="107" spans="1:15">
      <c r="A107" s="2">
        <v>106</v>
      </c>
      <c r="B107" s="4">
        <f>DAY(E107)</f>
        <v>18</v>
      </c>
      <c r="C107" s="4">
        <f>MONTH(E107)</f>
        <v>5</v>
      </c>
      <c r="D107" s="4">
        <f>YEAR(E107)</f>
        <v>2023</v>
      </c>
      <c r="E107" s="17">
        <v>45064</v>
      </c>
      <c r="F107" s="4" t="s">
        <v>129</v>
      </c>
      <c r="G107" s="4" t="s">
        <v>19</v>
      </c>
      <c r="H107" s="4">
        <v>46</v>
      </c>
      <c r="I107" s="4" t="str" cm="1">
        <f t="array" ref="I107">_xlfn.IFS(
  H107&lt;30,"Young Adult",
  H107&lt;50,"Adult",
  H107&gt;=50,"Senior"
)</f>
        <v>Adult</v>
      </c>
      <c r="J107" s="4" t="s">
        <v>20</v>
      </c>
      <c r="K107" s="4">
        <v>1</v>
      </c>
      <c r="L107" s="5">
        <v>50</v>
      </c>
      <c r="M107" s="5">
        <f xml:space="preserve"> K107*L107</f>
        <v>50</v>
      </c>
      <c r="N107" s="14">
        <f xml:space="preserve"> M107 * $Q$3</f>
        <v>0.75</v>
      </c>
      <c r="O107" s="5"/>
    </row>
    <row r="108" spans="1:15">
      <c r="A108" s="2">
        <v>107</v>
      </c>
      <c r="B108" s="4">
        <f>DAY(E108)</f>
        <v>3</v>
      </c>
      <c r="C108" s="4">
        <f>MONTH(E108)</f>
        <v>2</v>
      </c>
      <c r="D108" s="4">
        <f>YEAR(E108)</f>
        <v>2023</v>
      </c>
      <c r="E108" s="3">
        <v>44960</v>
      </c>
      <c r="F108" s="4" t="s">
        <v>130</v>
      </c>
      <c r="G108" s="4" t="s">
        <v>19</v>
      </c>
      <c r="H108" s="4">
        <v>21</v>
      </c>
      <c r="I108" s="4" t="str" cm="1">
        <f t="array" ref="I108">_xlfn.IFS(
  H108&lt;30,"Young Adult",
  H108&lt;50,"Adult",
  H108&gt;=50,"Senior"
)</f>
        <v>Young Adult</v>
      </c>
      <c r="J108" s="4" t="s">
        <v>20</v>
      </c>
      <c r="K108" s="4">
        <v>4</v>
      </c>
      <c r="L108" s="5">
        <v>300</v>
      </c>
      <c r="M108" s="5">
        <f xml:space="preserve"> K108*L108</f>
        <v>1200</v>
      </c>
      <c r="N108" s="14">
        <f xml:space="preserve"> M108 * $Q$3</f>
        <v>18</v>
      </c>
      <c r="O108" s="5"/>
    </row>
    <row r="109" spans="1:15">
      <c r="A109" s="2">
        <v>108</v>
      </c>
      <c r="B109" s="4">
        <f>DAY(E109)</f>
        <v>19</v>
      </c>
      <c r="C109" s="4">
        <f>MONTH(E109)</f>
        <v>4</v>
      </c>
      <c r="D109" s="4">
        <f>YEAR(E109)</f>
        <v>2023</v>
      </c>
      <c r="E109" s="17">
        <v>45035</v>
      </c>
      <c r="F109" s="4" t="s">
        <v>131</v>
      </c>
      <c r="G109" s="4" t="s">
        <v>19</v>
      </c>
      <c r="H109" s="4">
        <v>27</v>
      </c>
      <c r="I109" s="4" t="str" cm="1">
        <f t="array" ref="I109">_xlfn.IFS(
  H109&lt;30,"Young Adult",
  H109&lt;50,"Adult",
  H109&gt;=50,"Senior"
)</f>
        <v>Young Adult</v>
      </c>
      <c r="J109" s="4" t="s">
        <v>16</v>
      </c>
      <c r="K109" s="4">
        <v>3</v>
      </c>
      <c r="L109" s="5">
        <v>25</v>
      </c>
      <c r="M109" s="5">
        <f xml:space="preserve"> K109*L109</f>
        <v>75</v>
      </c>
      <c r="N109" s="14">
        <f xml:space="preserve"> M109 * $Q$3</f>
        <v>1.125</v>
      </c>
      <c r="O109" s="5"/>
    </row>
    <row r="110" spans="1:15">
      <c r="A110" s="2">
        <v>109</v>
      </c>
      <c r="B110" s="4">
        <f>DAY(E110)</f>
        <v>18</v>
      </c>
      <c r="C110" s="4">
        <f>MONTH(E110)</f>
        <v>10</v>
      </c>
      <c r="D110" s="4">
        <f>YEAR(E110)</f>
        <v>2023</v>
      </c>
      <c r="E110" s="3">
        <v>45217</v>
      </c>
      <c r="F110" s="4" t="s">
        <v>132</v>
      </c>
      <c r="G110" s="4" t="s">
        <v>19</v>
      </c>
      <c r="H110" s="4">
        <v>34</v>
      </c>
      <c r="I110" s="4" t="str" cm="1">
        <f t="array" ref="I110">_xlfn.IFS(
  H110&lt;30,"Young Adult",
  H110&lt;50,"Adult",
  H110&gt;=50,"Senior"
)</f>
        <v>Adult</v>
      </c>
      <c r="J110" s="4" t="s">
        <v>23</v>
      </c>
      <c r="K110" s="4">
        <v>4</v>
      </c>
      <c r="L110" s="5">
        <v>500</v>
      </c>
      <c r="M110" s="5">
        <f xml:space="preserve"> K110*L110</f>
        <v>2000</v>
      </c>
      <c r="N110" s="14">
        <f xml:space="preserve"> M110 * $Q$3</f>
        <v>30</v>
      </c>
      <c r="O110" s="5"/>
    </row>
    <row r="111" spans="1:15">
      <c r="A111" s="2">
        <v>110</v>
      </c>
      <c r="B111" s="4">
        <f>DAY(E111)</f>
        <v>11</v>
      </c>
      <c r="C111" s="4">
        <f>MONTH(E111)</f>
        <v>6</v>
      </c>
      <c r="D111" s="4">
        <f>YEAR(E111)</f>
        <v>2023</v>
      </c>
      <c r="E111" s="3">
        <v>45088</v>
      </c>
      <c r="F111" s="4" t="s">
        <v>133</v>
      </c>
      <c r="G111" s="4" t="s">
        <v>15</v>
      </c>
      <c r="H111" s="4">
        <v>27</v>
      </c>
      <c r="I111" s="4" t="str" cm="1">
        <f t="array" ref="I111">_xlfn.IFS(
  H111&lt;30,"Young Adult",
  H111&lt;50,"Adult",
  H111&gt;=50,"Senior"
)</f>
        <v>Young Adult</v>
      </c>
      <c r="J111" s="4" t="s">
        <v>20</v>
      </c>
      <c r="K111" s="4">
        <v>3</v>
      </c>
      <c r="L111" s="5">
        <v>300</v>
      </c>
      <c r="M111" s="5">
        <f xml:space="preserve"> K111*L111</f>
        <v>900</v>
      </c>
      <c r="N111" s="14">
        <f xml:space="preserve"> M111 * $Q$3</f>
        <v>13.5</v>
      </c>
      <c r="O111" s="5"/>
    </row>
    <row r="112" spans="1:15">
      <c r="A112" s="2">
        <v>111</v>
      </c>
      <c r="B112" s="4">
        <f>DAY(E112)</f>
        <v>19</v>
      </c>
      <c r="C112" s="4">
        <f>MONTH(E112)</f>
        <v>4</v>
      </c>
      <c r="D112" s="4">
        <f>YEAR(E112)</f>
        <v>2023</v>
      </c>
      <c r="E112" s="17">
        <v>45035</v>
      </c>
      <c r="F112" s="4" t="s">
        <v>134</v>
      </c>
      <c r="G112" s="4" t="s">
        <v>19</v>
      </c>
      <c r="H112" s="4">
        <v>34</v>
      </c>
      <c r="I112" s="4" t="str" cm="1">
        <f t="array" ref="I112">_xlfn.IFS(
  H112&lt;30,"Young Adult",
  H112&lt;50,"Adult",
  H112&gt;=50,"Senior"
)</f>
        <v>Adult</v>
      </c>
      <c r="J112" s="4" t="s">
        <v>23</v>
      </c>
      <c r="K112" s="4">
        <v>3</v>
      </c>
      <c r="L112" s="5">
        <v>500</v>
      </c>
      <c r="M112" s="5">
        <f xml:space="preserve"> K112*L112</f>
        <v>1500</v>
      </c>
      <c r="N112" s="14">
        <f xml:space="preserve"> M112 * $Q$3</f>
        <v>22.5</v>
      </c>
      <c r="O112" s="5"/>
    </row>
    <row r="113" spans="1:15">
      <c r="A113" s="2">
        <v>112</v>
      </c>
      <c r="B113" s="4">
        <f>DAY(E113)</f>
        <v>2</v>
      </c>
      <c r="C113" s="4">
        <f>MONTH(E113)</f>
        <v>12</v>
      </c>
      <c r="D113" s="4">
        <f>YEAR(E113)</f>
        <v>2023</v>
      </c>
      <c r="E113" s="3">
        <v>45262</v>
      </c>
      <c r="F113" s="4" t="s">
        <v>135</v>
      </c>
      <c r="G113" s="4" t="s">
        <v>15</v>
      </c>
      <c r="H113" s="4">
        <v>37</v>
      </c>
      <c r="I113" s="4" t="str" cm="1">
        <f t="array" ref="I113">_xlfn.IFS(
  H113&lt;30,"Young Adult",
  H113&lt;50,"Adult",
  H113&gt;=50,"Senior"
)</f>
        <v>Adult</v>
      </c>
      <c r="J113" s="4" t="s">
        <v>20</v>
      </c>
      <c r="K113" s="4">
        <v>3</v>
      </c>
      <c r="L113" s="5">
        <v>500</v>
      </c>
      <c r="M113" s="5">
        <f xml:space="preserve"> K113*L113</f>
        <v>1500</v>
      </c>
      <c r="N113" s="14">
        <f xml:space="preserve"> M113 * $Q$3</f>
        <v>22.5</v>
      </c>
      <c r="O113" s="5"/>
    </row>
    <row r="114" spans="1:15">
      <c r="A114" s="2">
        <v>113</v>
      </c>
      <c r="B114" s="4">
        <f>DAY(E114)</f>
        <v>13</v>
      </c>
      <c r="C114" s="4">
        <f>MONTH(E114)</f>
        <v>9</v>
      </c>
      <c r="D114" s="4">
        <f>YEAR(E114)</f>
        <v>2023</v>
      </c>
      <c r="E114" s="3">
        <v>45182</v>
      </c>
      <c r="F114" s="4" t="s">
        <v>136</v>
      </c>
      <c r="G114" s="4" t="s">
        <v>19</v>
      </c>
      <c r="H114" s="4">
        <v>41</v>
      </c>
      <c r="I114" s="4" t="str" cm="1">
        <f t="array" ref="I114">_xlfn.IFS(
  H114&lt;30,"Young Adult",
  H114&lt;50,"Adult",
  H114&gt;=50,"Senior"
)</f>
        <v>Adult</v>
      </c>
      <c r="J114" s="4" t="s">
        <v>23</v>
      </c>
      <c r="K114" s="4">
        <v>2</v>
      </c>
      <c r="L114" s="5">
        <v>25</v>
      </c>
      <c r="M114" s="5">
        <f xml:space="preserve"> K114*L114</f>
        <v>50</v>
      </c>
      <c r="N114" s="14">
        <f xml:space="preserve"> M114 * $Q$3</f>
        <v>0.75</v>
      </c>
      <c r="O114" s="5"/>
    </row>
    <row r="115" spans="1:15">
      <c r="A115" s="2">
        <v>114</v>
      </c>
      <c r="B115" s="4">
        <f>DAY(E115)</f>
        <v>22</v>
      </c>
      <c r="C115" s="4">
        <f>MONTH(E115)</f>
        <v>7</v>
      </c>
      <c r="D115" s="4">
        <f>YEAR(E115)</f>
        <v>2023</v>
      </c>
      <c r="E115" s="3">
        <v>45129</v>
      </c>
      <c r="F115" s="4" t="s">
        <v>137</v>
      </c>
      <c r="G115" s="4" t="s">
        <v>19</v>
      </c>
      <c r="H115" s="4">
        <v>22</v>
      </c>
      <c r="I115" s="4" t="str" cm="1">
        <f t="array" ref="I115">_xlfn.IFS(
  H115&lt;30,"Young Adult",
  H115&lt;50,"Adult",
  H115&gt;=50,"Senior"
)</f>
        <v>Young Adult</v>
      </c>
      <c r="J115" s="4" t="s">
        <v>16</v>
      </c>
      <c r="K115" s="4">
        <v>4</v>
      </c>
      <c r="L115" s="5">
        <v>25</v>
      </c>
      <c r="M115" s="5">
        <f xml:space="preserve"> K115*L115</f>
        <v>100</v>
      </c>
      <c r="N115" s="14">
        <f xml:space="preserve"> M115 * $Q$3</f>
        <v>1.5</v>
      </c>
      <c r="O115" s="5"/>
    </row>
    <row r="116" spans="1:15">
      <c r="A116" s="2">
        <v>115</v>
      </c>
      <c r="B116" s="4">
        <f>DAY(E116)</f>
        <v>26</v>
      </c>
      <c r="C116" s="4">
        <f>MONTH(E116)</f>
        <v>11</v>
      </c>
      <c r="D116" s="4">
        <f>YEAR(E116)</f>
        <v>2023</v>
      </c>
      <c r="E116" s="3">
        <v>45256</v>
      </c>
      <c r="F116" s="4" t="s">
        <v>138</v>
      </c>
      <c r="G116" s="4" t="s">
        <v>15</v>
      </c>
      <c r="H116" s="4">
        <v>51</v>
      </c>
      <c r="I116" s="4" t="str" cm="1">
        <f t="array" ref="I116">_xlfn.IFS(
  H116&lt;30,"Young Adult",
  H116&lt;50,"Adult",
  H116&gt;=50,"Senior"
)</f>
        <v>Senior</v>
      </c>
      <c r="J116" s="4" t="s">
        <v>20</v>
      </c>
      <c r="K116" s="4">
        <v>3</v>
      </c>
      <c r="L116" s="5">
        <v>500</v>
      </c>
      <c r="M116" s="5">
        <f xml:space="preserve"> K116*L116</f>
        <v>1500</v>
      </c>
      <c r="N116" s="14">
        <f xml:space="preserve"> M116 * $Q$3</f>
        <v>22.5</v>
      </c>
      <c r="O116" s="5"/>
    </row>
    <row r="117" spans="1:15">
      <c r="A117" s="2">
        <v>116</v>
      </c>
      <c r="B117" s="4">
        <f>DAY(E117)</f>
        <v>23</v>
      </c>
      <c r="C117" s="4">
        <f>MONTH(E117)</f>
        <v>8</v>
      </c>
      <c r="D117" s="4">
        <f>YEAR(E117)</f>
        <v>2023</v>
      </c>
      <c r="E117" s="3">
        <v>45161</v>
      </c>
      <c r="F117" s="4" t="s">
        <v>139</v>
      </c>
      <c r="G117" s="4" t="s">
        <v>19</v>
      </c>
      <c r="H117" s="4">
        <v>23</v>
      </c>
      <c r="I117" s="4" t="str" cm="1">
        <f t="array" ref="I117">_xlfn.IFS(
  H117&lt;30,"Young Adult",
  H117&lt;50,"Adult",
  H117&gt;=50,"Senior"
)</f>
        <v>Young Adult</v>
      </c>
      <c r="J117" s="4" t="s">
        <v>20</v>
      </c>
      <c r="K117" s="4">
        <v>1</v>
      </c>
      <c r="L117" s="5">
        <v>30</v>
      </c>
      <c r="M117" s="5">
        <f xml:space="preserve"> K117*L117</f>
        <v>30</v>
      </c>
      <c r="N117" s="14">
        <f xml:space="preserve"> M117 * $Q$3</f>
        <v>0.44999999999999996</v>
      </c>
      <c r="O117" s="5"/>
    </row>
    <row r="118" spans="1:15">
      <c r="A118" s="2">
        <v>117</v>
      </c>
      <c r="B118" s="4">
        <f>DAY(E118)</f>
        <v>15</v>
      </c>
      <c r="C118" s="4">
        <f>MONTH(E118)</f>
        <v>3</v>
      </c>
      <c r="D118" s="4">
        <f>YEAR(E118)</f>
        <v>2023</v>
      </c>
      <c r="E118" s="17">
        <v>45000</v>
      </c>
      <c r="F118" s="4" t="s">
        <v>140</v>
      </c>
      <c r="G118" s="4" t="s">
        <v>15</v>
      </c>
      <c r="H118" s="4">
        <v>19</v>
      </c>
      <c r="I118" s="4" t="str" cm="1">
        <f t="array" ref="I118">_xlfn.IFS(
  H118&lt;30,"Young Adult",
  H118&lt;50,"Adult",
  H118&gt;=50,"Senior"
)</f>
        <v>Young Adult</v>
      </c>
      <c r="J118" s="4" t="s">
        <v>23</v>
      </c>
      <c r="K118" s="4">
        <v>2</v>
      </c>
      <c r="L118" s="5">
        <v>500</v>
      </c>
      <c r="M118" s="5">
        <f xml:space="preserve"> K118*L118</f>
        <v>1000</v>
      </c>
      <c r="N118" s="14">
        <f xml:space="preserve"> M118 * $Q$3</f>
        <v>15</v>
      </c>
      <c r="O118" s="5"/>
    </row>
    <row r="119" spans="1:15">
      <c r="A119" s="2">
        <v>118</v>
      </c>
      <c r="B119" s="4">
        <f>DAY(E119)</f>
        <v>16</v>
      </c>
      <c r="C119" s="4">
        <f>MONTH(E119)</f>
        <v>5</v>
      </c>
      <c r="D119" s="4">
        <f>YEAR(E119)</f>
        <v>2023</v>
      </c>
      <c r="E119" s="17">
        <v>45062</v>
      </c>
      <c r="F119" s="4" t="s">
        <v>141</v>
      </c>
      <c r="G119" s="4" t="s">
        <v>19</v>
      </c>
      <c r="H119" s="4">
        <v>30</v>
      </c>
      <c r="I119" s="4" t="str" cm="1">
        <f t="array" ref="I119">_xlfn.IFS(
  H119&lt;30,"Young Adult",
  H119&lt;50,"Adult",
  H119&gt;=50,"Senior"
)</f>
        <v>Adult</v>
      </c>
      <c r="J119" s="4" t="s">
        <v>23</v>
      </c>
      <c r="K119" s="4">
        <v>4</v>
      </c>
      <c r="L119" s="5">
        <v>500</v>
      </c>
      <c r="M119" s="5">
        <f xml:space="preserve"> K119*L119</f>
        <v>2000</v>
      </c>
      <c r="N119" s="14">
        <f xml:space="preserve"> M119 * $Q$3</f>
        <v>30</v>
      </c>
      <c r="O119" s="5"/>
    </row>
    <row r="120" spans="1:15">
      <c r="A120" s="2">
        <v>119</v>
      </c>
      <c r="B120" s="4">
        <f>DAY(E120)</f>
        <v>13</v>
      </c>
      <c r="C120" s="4">
        <f>MONTH(E120)</f>
        <v>3</v>
      </c>
      <c r="D120" s="4">
        <f>YEAR(E120)</f>
        <v>2023</v>
      </c>
      <c r="E120" s="17">
        <v>44998</v>
      </c>
      <c r="F120" s="4" t="s">
        <v>142</v>
      </c>
      <c r="G120" s="4" t="s">
        <v>19</v>
      </c>
      <c r="H120" s="4">
        <v>60</v>
      </c>
      <c r="I120" s="4" t="str" cm="1">
        <f t="array" ref="I120">_xlfn.IFS(
  H120&lt;30,"Young Adult",
  H120&lt;50,"Adult",
  H120&gt;=50,"Senior"
)</f>
        <v>Senior</v>
      </c>
      <c r="J120" s="4" t="s">
        <v>20</v>
      </c>
      <c r="K120" s="4">
        <v>3</v>
      </c>
      <c r="L120" s="5">
        <v>50</v>
      </c>
      <c r="M120" s="5">
        <f xml:space="preserve"> K120*L120</f>
        <v>150</v>
      </c>
      <c r="N120" s="14">
        <f xml:space="preserve"> M120 * $Q$3</f>
        <v>2.25</v>
      </c>
      <c r="O120" s="5"/>
    </row>
    <row r="121" spans="1:15">
      <c r="A121" s="2">
        <v>120</v>
      </c>
      <c r="B121" s="4">
        <f>DAY(E121)</f>
        <v>7</v>
      </c>
      <c r="C121" s="4">
        <f>MONTH(E121)</f>
        <v>5</v>
      </c>
      <c r="D121" s="4">
        <f>YEAR(E121)</f>
        <v>2023</v>
      </c>
      <c r="E121" s="17">
        <v>45053</v>
      </c>
      <c r="F121" s="4" t="s">
        <v>143</v>
      </c>
      <c r="G121" s="4" t="s">
        <v>15</v>
      </c>
      <c r="H121" s="4">
        <v>60</v>
      </c>
      <c r="I121" s="4" t="str" cm="1">
        <f t="array" ref="I121">_xlfn.IFS(
  H121&lt;30,"Young Adult",
  H121&lt;50,"Adult",
  H121&gt;=50,"Senior"
)</f>
        <v>Senior</v>
      </c>
      <c r="J121" s="4" t="s">
        <v>16</v>
      </c>
      <c r="K121" s="4">
        <v>1</v>
      </c>
      <c r="L121" s="5">
        <v>50</v>
      </c>
      <c r="M121" s="5">
        <f xml:space="preserve"> K121*L121</f>
        <v>50</v>
      </c>
      <c r="N121" s="14">
        <f xml:space="preserve"> M121 * $Q$3</f>
        <v>0.75</v>
      </c>
      <c r="O121" s="5"/>
    </row>
    <row r="122" spans="1:15">
      <c r="A122" s="2">
        <v>121</v>
      </c>
      <c r="B122" s="4">
        <f>DAY(E122)</f>
        <v>15</v>
      </c>
      <c r="C122" s="4">
        <f>MONTH(E122)</f>
        <v>10</v>
      </c>
      <c r="D122" s="4">
        <f>YEAR(E122)</f>
        <v>2023</v>
      </c>
      <c r="E122" s="3">
        <v>45214</v>
      </c>
      <c r="F122" s="4" t="s">
        <v>144</v>
      </c>
      <c r="G122" s="4" t="s">
        <v>19</v>
      </c>
      <c r="H122" s="4">
        <v>28</v>
      </c>
      <c r="I122" s="4" t="str" cm="1">
        <f t="array" ref="I122">_xlfn.IFS(
  H122&lt;30,"Young Adult",
  H122&lt;50,"Adult",
  H122&gt;=50,"Senior"
)</f>
        <v>Young Adult</v>
      </c>
      <c r="J122" s="4" t="s">
        <v>23</v>
      </c>
      <c r="K122" s="4">
        <v>4</v>
      </c>
      <c r="L122" s="5">
        <v>50</v>
      </c>
      <c r="M122" s="5">
        <f xml:space="preserve"> K122*L122</f>
        <v>200</v>
      </c>
      <c r="N122" s="14">
        <f xml:space="preserve"> M122 * $Q$3</f>
        <v>3</v>
      </c>
      <c r="O122" s="5"/>
    </row>
    <row r="123" spans="1:15">
      <c r="A123" s="2">
        <v>122</v>
      </c>
      <c r="B123" s="4">
        <f>DAY(E123)</f>
        <v>3</v>
      </c>
      <c r="C123" s="4">
        <f>MONTH(E123)</f>
        <v>10</v>
      </c>
      <c r="D123" s="4">
        <f>YEAR(E123)</f>
        <v>2023</v>
      </c>
      <c r="E123" s="3">
        <v>45202</v>
      </c>
      <c r="F123" s="4" t="s">
        <v>145</v>
      </c>
      <c r="G123" s="4" t="s">
        <v>15</v>
      </c>
      <c r="H123" s="4">
        <v>64</v>
      </c>
      <c r="I123" s="4" t="str" cm="1">
        <f t="array" ref="I123">_xlfn.IFS(
  H123&lt;30,"Young Adult",
  H123&lt;50,"Adult",
  H123&gt;=50,"Senior"
)</f>
        <v>Senior</v>
      </c>
      <c r="J123" s="4" t="s">
        <v>23</v>
      </c>
      <c r="K123" s="4">
        <v>4</v>
      </c>
      <c r="L123" s="5">
        <v>30</v>
      </c>
      <c r="M123" s="5">
        <f xml:space="preserve"> K123*L123</f>
        <v>120</v>
      </c>
      <c r="N123" s="14">
        <f xml:space="preserve"> M123 * $Q$3</f>
        <v>1.7999999999999998</v>
      </c>
      <c r="O123" s="5"/>
    </row>
    <row r="124" spans="1:15">
      <c r="A124" s="2">
        <v>123</v>
      </c>
      <c r="B124" s="4">
        <f>DAY(E124)</f>
        <v>15</v>
      </c>
      <c r="C124" s="4">
        <f>MONTH(E124)</f>
        <v>5</v>
      </c>
      <c r="D124" s="4">
        <f>YEAR(E124)</f>
        <v>2023</v>
      </c>
      <c r="E124" s="17">
        <v>45061</v>
      </c>
      <c r="F124" s="4" t="s">
        <v>146</v>
      </c>
      <c r="G124" s="4" t="s">
        <v>19</v>
      </c>
      <c r="H124" s="4">
        <v>40</v>
      </c>
      <c r="I124" s="4" t="str" cm="1">
        <f t="array" ref="I124">_xlfn.IFS(
  H124&lt;30,"Young Adult",
  H124&lt;50,"Adult",
  H124&gt;=50,"Senior"
)</f>
        <v>Adult</v>
      </c>
      <c r="J124" s="4" t="s">
        <v>23</v>
      </c>
      <c r="K124" s="4">
        <v>2</v>
      </c>
      <c r="L124" s="5">
        <v>30</v>
      </c>
      <c r="M124" s="5">
        <f xml:space="preserve"> K124*L124</f>
        <v>60</v>
      </c>
      <c r="N124" s="14">
        <f xml:space="preserve"> M124 * $Q$3</f>
        <v>0.89999999999999991</v>
      </c>
      <c r="O124" s="5"/>
    </row>
    <row r="125" spans="1:15">
      <c r="A125" s="2">
        <v>124</v>
      </c>
      <c r="B125" s="4">
        <f>DAY(E125)</f>
        <v>27</v>
      </c>
      <c r="C125" s="4">
        <f>MONTH(E125)</f>
        <v>10</v>
      </c>
      <c r="D125" s="4">
        <f>YEAR(E125)</f>
        <v>2023</v>
      </c>
      <c r="E125" s="3">
        <v>45226</v>
      </c>
      <c r="F125" s="4" t="s">
        <v>147</v>
      </c>
      <c r="G125" s="4" t="s">
        <v>15</v>
      </c>
      <c r="H125" s="4">
        <v>33</v>
      </c>
      <c r="I125" s="4" t="str" cm="1">
        <f t="array" ref="I125">_xlfn.IFS(
  H125&lt;30,"Young Adult",
  H125&lt;50,"Adult",
  H125&gt;=50,"Senior"
)</f>
        <v>Adult</v>
      </c>
      <c r="J125" s="4" t="s">
        <v>20</v>
      </c>
      <c r="K125" s="4">
        <v>4</v>
      </c>
      <c r="L125" s="5">
        <v>500</v>
      </c>
      <c r="M125" s="5">
        <f xml:space="preserve"> K125*L125</f>
        <v>2000</v>
      </c>
      <c r="N125" s="14">
        <f xml:space="preserve"> M125 * $Q$3</f>
        <v>30</v>
      </c>
      <c r="O125" s="5"/>
    </row>
    <row r="126" spans="1:15">
      <c r="A126" s="2">
        <v>125</v>
      </c>
      <c r="B126" s="4">
        <f>DAY(E126)</f>
        <v>8</v>
      </c>
      <c r="C126" s="4">
        <f>MONTH(E126)</f>
        <v>8</v>
      </c>
      <c r="D126" s="4">
        <f>YEAR(E126)</f>
        <v>2023</v>
      </c>
      <c r="E126" s="3">
        <v>45146</v>
      </c>
      <c r="F126" s="4" t="s">
        <v>148</v>
      </c>
      <c r="G126" s="4" t="s">
        <v>15</v>
      </c>
      <c r="H126" s="4">
        <v>48</v>
      </c>
      <c r="I126" s="4" t="str" cm="1">
        <f t="array" ref="I126">_xlfn.IFS(
  H126&lt;30,"Young Adult",
  H126&lt;50,"Adult",
  H126&gt;=50,"Senior"
)</f>
        <v>Adult</v>
      </c>
      <c r="J126" s="4" t="s">
        <v>20</v>
      </c>
      <c r="K126" s="4">
        <v>2</v>
      </c>
      <c r="L126" s="5">
        <v>50</v>
      </c>
      <c r="M126" s="5">
        <f xml:space="preserve"> K126*L126</f>
        <v>100</v>
      </c>
      <c r="N126" s="14">
        <f xml:space="preserve"> M126 * $Q$3</f>
        <v>1.5</v>
      </c>
      <c r="O126" s="5"/>
    </row>
    <row r="127" spans="1:15">
      <c r="A127" s="2">
        <v>126</v>
      </c>
      <c r="B127" s="4">
        <f>DAY(E127)</f>
        <v>26</v>
      </c>
      <c r="C127" s="4">
        <f>MONTH(E127)</f>
        <v>10</v>
      </c>
      <c r="D127" s="4">
        <f>YEAR(E127)</f>
        <v>2023</v>
      </c>
      <c r="E127" s="3">
        <v>45225</v>
      </c>
      <c r="F127" s="4" t="s">
        <v>149</v>
      </c>
      <c r="G127" s="4" t="s">
        <v>19</v>
      </c>
      <c r="H127" s="4">
        <v>28</v>
      </c>
      <c r="I127" s="4" t="str" cm="1">
        <f t="array" ref="I127">_xlfn.IFS(
  H127&lt;30,"Young Adult",
  H127&lt;50,"Adult",
  H127&gt;=50,"Senior"
)</f>
        <v>Young Adult</v>
      </c>
      <c r="J127" s="4" t="s">
        <v>20</v>
      </c>
      <c r="K127" s="4">
        <v>3</v>
      </c>
      <c r="L127" s="5">
        <v>30</v>
      </c>
      <c r="M127" s="5">
        <f xml:space="preserve"> K127*L127</f>
        <v>90</v>
      </c>
      <c r="N127" s="14">
        <f xml:space="preserve"> M127 * $Q$3</f>
        <v>1.3499999999999999</v>
      </c>
      <c r="O127" s="5"/>
    </row>
    <row r="128" spans="1:15">
      <c r="A128" s="2">
        <v>127</v>
      </c>
      <c r="B128" s="4">
        <f>DAY(E128)</f>
        <v>24</v>
      </c>
      <c r="C128" s="4">
        <f>MONTH(E128)</f>
        <v>7</v>
      </c>
      <c r="D128" s="4">
        <f>YEAR(E128)</f>
        <v>2023</v>
      </c>
      <c r="E128" s="3">
        <v>45131</v>
      </c>
      <c r="F128" s="4" t="s">
        <v>150</v>
      </c>
      <c r="G128" s="4" t="s">
        <v>19</v>
      </c>
      <c r="H128" s="4">
        <v>33</v>
      </c>
      <c r="I128" s="4" t="str" cm="1">
        <f t="array" ref="I128">_xlfn.IFS(
  H128&lt;30,"Young Adult",
  H128&lt;50,"Adult",
  H128&gt;=50,"Senior"
)</f>
        <v>Adult</v>
      </c>
      <c r="J128" s="4" t="s">
        <v>20</v>
      </c>
      <c r="K128" s="4">
        <v>2</v>
      </c>
      <c r="L128" s="5">
        <v>25</v>
      </c>
      <c r="M128" s="5">
        <f xml:space="preserve"> K128*L128</f>
        <v>50</v>
      </c>
      <c r="N128" s="14">
        <f xml:space="preserve"> M128 * $Q$3</f>
        <v>0.75</v>
      </c>
      <c r="O128" s="5"/>
    </row>
    <row r="129" spans="1:15">
      <c r="A129" s="2">
        <v>128</v>
      </c>
      <c r="B129" s="4">
        <f>DAY(E129)</f>
        <v>5</v>
      </c>
      <c r="C129" s="4">
        <f>MONTH(E129)</f>
        <v>7</v>
      </c>
      <c r="D129" s="4">
        <f>YEAR(E129)</f>
        <v>2023</v>
      </c>
      <c r="E129" s="3">
        <v>45112</v>
      </c>
      <c r="F129" s="4" t="s">
        <v>151</v>
      </c>
      <c r="G129" s="4" t="s">
        <v>15</v>
      </c>
      <c r="H129" s="4">
        <v>25</v>
      </c>
      <c r="I129" s="4" t="str" cm="1">
        <f t="array" ref="I129">_xlfn.IFS(
  H129&lt;30,"Young Adult",
  H129&lt;50,"Adult",
  H129&gt;=50,"Senior"
)</f>
        <v>Young Adult</v>
      </c>
      <c r="J129" s="4" t="s">
        <v>16</v>
      </c>
      <c r="K129" s="4">
        <v>1</v>
      </c>
      <c r="L129" s="5">
        <v>500</v>
      </c>
      <c r="M129" s="5">
        <f xml:space="preserve"> K129*L129</f>
        <v>500</v>
      </c>
      <c r="N129" s="14">
        <f xml:space="preserve"> M129 * $Q$3</f>
        <v>7.5</v>
      </c>
      <c r="O129" s="5"/>
    </row>
    <row r="130" spans="1:15">
      <c r="A130" s="2">
        <v>129</v>
      </c>
      <c r="B130" s="4">
        <f>DAY(E130)</f>
        <v>23</v>
      </c>
      <c r="C130" s="4">
        <f>MONTH(E130)</f>
        <v>4</v>
      </c>
      <c r="D130" s="4">
        <f>YEAR(E130)</f>
        <v>2023</v>
      </c>
      <c r="E130" s="17">
        <v>45039</v>
      </c>
      <c r="F130" s="4" t="s">
        <v>152</v>
      </c>
      <c r="G130" s="4" t="s">
        <v>19</v>
      </c>
      <c r="H130" s="4">
        <v>21</v>
      </c>
      <c r="I130" s="4" t="str" cm="1">
        <f t="array" ref="I130">_xlfn.IFS(
  H130&lt;30,"Young Adult",
  H130&lt;50,"Adult",
  H130&gt;=50,"Senior"
)</f>
        <v>Young Adult</v>
      </c>
      <c r="J130" s="4" t="s">
        <v>16</v>
      </c>
      <c r="K130" s="4">
        <v>2</v>
      </c>
      <c r="L130" s="5">
        <v>300</v>
      </c>
      <c r="M130" s="5">
        <f xml:space="preserve"> K130*L130</f>
        <v>600</v>
      </c>
      <c r="N130" s="14">
        <f xml:space="preserve"> M130 * $Q$3</f>
        <v>9</v>
      </c>
      <c r="O130" s="5"/>
    </row>
    <row r="131" spans="1:15">
      <c r="A131" s="2">
        <v>130</v>
      </c>
      <c r="B131" s="4">
        <f>DAY(E131)</f>
        <v>12</v>
      </c>
      <c r="C131" s="4">
        <f>MONTH(E131)</f>
        <v>3</v>
      </c>
      <c r="D131" s="4">
        <f>YEAR(E131)</f>
        <v>2023</v>
      </c>
      <c r="E131" s="17">
        <v>44997</v>
      </c>
      <c r="F131" s="4" t="s">
        <v>153</v>
      </c>
      <c r="G131" s="4" t="s">
        <v>19</v>
      </c>
      <c r="H131" s="4">
        <v>57</v>
      </c>
      <c r="I131" s="4" t="str" cm="1">
        <f t="array" ref="I131">_xlfn.IFS(
  H131&lt;30,"Young Adult",
  H131&lt;50,"Adult",
  H131&gt;=50,"Senior"
)</f>
        <v>Senior</v>
      </c>
      <c r="J131" s="4" t="s">
        <v>20</v>
      </c>
      <c r="K131" s="4">
        <v>1</v>
      </c>
      <c r="L131" s="5">
        <v>500</v>
      </c>
      <c r="M131" s="5">
        <f xml:space="preserve"> K131*L131</f>
        <v>500</v>
      </c>
      <c r="N131" s="14">
        <f xml:space="preserve"> M131 * $Q$3</f>
        <v>7.5</v>
      </c>
      <c r="O131" s="5"/>
    </row>
    <row r="132" spans="1:15">
      <c r="A132" s="2">
        <v>131</v>
      </c>
      <c r="B132" s="4">
        <f>DAY(E132)</f>
        <v>18</v>
      </c>
      <c r="C132" s="4">
        <f>MONTH(E132)</f>
        <v>9</v>
      </c>
      <c r="D132" s="4">
        <f>YEAR(E132)</f>
        <v>2023</v>
      </c>
      <c r="E132" s="17">
        <v>45187</v>
      </c>
      <c r="F132" s="4" t="s">
        <v>154</v>
      </c>
      <c r="G132" s="4" t="s">
        <v>19</v>
      </c>
      <c r="H132" s="4">
        <v>21</v>
      </c>
      <c r="I132" s="4" t="str" cm="1">
        <f t="array" ref="I132">_xlfn.IFS(
  H132&lt;30,"Young Adult",
  H132&lt;50,"Adult",
  H132&gt;=50,"Senior"
)</f>
        <v>Young Adult</v>
      </c>
      <c r="J132" s="4" t="s">
        <v>16</v>
      </c>
      <c r="K132" s="4">
        <v>2</v>
      </c>
      <c r="L132" s="5">
        <v>300</v>
      </c>
      <c r="M132" s="5">
        <f xml:space="preserve"> K132*L132</f>
        <v>600</v>
      </c>
      <c r="N132" s="14">
        <f xml:space="preserve"> M132 * $Q$3</f>
        <v>9</v>
      </c>
      <c r="O132" s="5"/>
    </row>
    <row r="133" spans="1:15">
      <c r="A133" s="2">
        <v>132</v>
      </c>
      <c r="B133" s="4">
        <f>DAY(E133)</f>
        <v>10</v>
      </c>
      <c r="C133" s="4">
        <f>MONTH(E133)</f>
        <v>9</v>
      </c>
      <c r="D133" s="4">
        <f>YEAR(E133)</f>
        <v>2023</v>
      </c>
      <c r="E133" s="3">
        <v>45179</v>
      </c>
      <c r="F133" s="4" t="s">
        <v>155</v>
      </c>
      <c r="G133" s="4" t="s">
        <v>15</v>
      </c>
      <c r="H133" s="4">
        <v>42</v>
      </c>
      <c r="I133" s="4" t="str" cm="1">
        <f t="array" ref="I133">_xlfn.IFS(
  H133&lt;30,"Young Adult",
  H133&lt;50,"Adult",
  H133&gt;=50,"Senior"
)</f>
        <v>Adult</v>
      </c>
      <c r="J133" s="4" t="s">
        <v>23</v>
      </c>
      <c r="K133" s="4">
        <v>4</v>
      </c>
      <c r="L133" s="5">
        <v>50</v>
      </c>
      <c r="M133" s="5">
        <f xml:space="preserve"> K133*L133</f>
        <v>200</v>
      </c>
      <c r="N133" s="14">
        <f xml:space="preserve"> M133 * $Q$3</f>
        <v>3</v>
      </c>
      <c r="O133" s="5"/>
    </row>
    <row r="134" spans="1:15">
      <c r="A134" s="2">
        <v>133</v>
      </c>
      <c r="B134" s="4">
        <f>DAY(E134)</f>
        <v>16</v>
      </c>
      <c r="C134" s="4">
        <f>MONTH(E134)</f>
        <v>2</v>
      </c>
      <c r="D134" s="4">
        <f>YEAR(E134)</f>
        <v>2023</v>
      </c>
      <c r="E134" s="3">
        <v>44973</v>
      </c>
      <c r="F134" s="4" t="s">
        <v>156</v>
      </c>
      <c r="G134" s="4" t="s">
        <v>15</v>
      </c>
      <c r="H134" s="4">
        <v>20</v>
      </c>
      <c r="I134" s="4" t="str" cm="1">
        <f t="array" ref="I134">_xlfn.IFS(
  H134&lt;30,"Young Adult",
  H134&lt;50,"Adult",
  H134&gt;=50,"Senior"
)</f>
        <v>Young Adult</v>
      </c>
      <c r="J134" s="4" t="s">
        <v>23</v>
      </c>
      <c r="K134" s="4">
        <v>3</v>
      </c>
      <c r="L134" s="5">
        <v>300</v>
      </c>
      <c r="M134" s="5">
        <f xml:space="preserve"> K134*L134</f>
        <v>900</v>
      </c>
      <c r="N134" s="14">
        <f xml:space="preserve"> M134 * $Q$3</f>
        <v>13.5</v>
      </c>
      <c r="O134" s="5"/>
    </row>
    <row r="135" spans="1:15">
      <c r="A135" s="2">
        <v>134</v>
      </c>
      <c r="B135" s="4">
        <f>DAY(E135)</f>
        <v>25</v>
      </c>
      <c r="C135" s="4">
        <f>MONTH(E135)</f>
        <v>1</v>
      </c>
      <c r="D135" s="4">
        <f>YEAR(E135)</f>
        <v>2023</v>
      </c>
      <c r="E135" s="3">
        <v>44951</v>
      </c>
      <c r="F135" s="4" t="s">
        <v>157</v>
      </c>
      <c r="G135" s="4" t="s">
        <v>15</v>
      </c>
      <c r="H135" s="4">
        <v>49</v>
      </c>
      <c r="I135" s="4" t="str" cm="1">
        <f t="array" ref="I135">_xlfn.IFS(
  H135&lt;30,"Young Adult",
  H135&lt;50,"Adult",
  H135&gt;=50,"Senior"
)</f>
        <v>Adult</v>
      </c>
      <c r="J135" s="4" t="s">
        <v>23</v>
      </c>
      <c r="K135" s="4">
        <v>1</v>
      </c>
      <c r="L135" s="5">
        <v>50</v>
      </c>
      <c r="M135" s="5">
        <f xml:space="preserve"> K135*L135</f>
        <v>50</v>
      </c>
      <c r="N135" s="14">
        <f xml:space="preserve"> M135 * $Q$3</f>
        <v>0.75</v>
      </c>
      <c r="O135" s="5"/>
    </row>
    <row r="136" spans="1:15">
      <c r="A136" s="2">
        <v>135</v>
      </c>
      <c r="B136" s="4">
        <f>DAY(E136)</f>
        <v>26</v>
      </c>
      <c r="C136" s="4">
        <f>MONTH(E136)</f>
        <v>2</v>
      </c>
      <c r="D136" s="4">
        <f>YEAR(E136)</f>
        <v>2023</v>
      </c>
      <c r="E136" s="3">
        <v>44983</v>
      </c>
      <c r="F136" s="4" t="s">
        <v>158</v>
      </c>
      <c r="G136" s="4" t="s">
        <v>15</v>
      </c>
      <c r="H136" s="4">
        <v>20</v>
      </c>
      <c r="I136" s="4" t="str" cm="1">
        <f t="array" ref="I136">_xlfn.IFS(
  H136&lt;30,"Young Adult",
  H136&lt;50,"Adult",
  H136&gt;=50,"Senior"
)</f>
        <v>Young Adult</v>
      </c>
      <c r="J136" s="4" t="s">
        <v>20</v>
      </c>
      <c r="K136" s="4">
        <v>2</v>
      </c>
      <c r="L136" s="5">
        <v>25</v>
      </c>
      <c r="M136" s="5">
        <f xml:space="preserve"> K136*L136</f>
        <v>50</v>
      </c>
      <c r="N136" s="14">
        <f xml:space="preserve"> M136 * $Q$3</f>
        <v>0.75</v>
      </c>
      <c r="O136" s="5"/>
    </row>
    <row r="137" spans="1:15">
      <c r="A137" s="2">
        <v>136</v>
      </c>
      <c r="B137" s="4">
        <f>DAY(E137)</f>
        <v>20</v>
      </c>
      <c r="C137" s="4">
        <f>MONTH(E137)</f>
        <v>3</v>
      </c>
      <c r="D137" s="4">
        <f>YEAR(E137)</f>
        <v>2023</v>
      </c>
      <c r="E137" s="17">
        <v>45005</v>
      </c>
      <c r="F137" s="4" t="s">
        <v>159</v>
      </c>
      <c r="G137" s="4" t="s">
        <v>15</v>
      </c>
      <c r="H137" s="4">
        <v>44</v>
      </c>
      <c r="I137" s="4" t="str" cm="1">
        <f t="array" ref="I137">_xlfn.IFS(
  H137&lt;30,"Young Adult",
  H137&lt;50,"Adult",
  H137&gt;=50,"Senior"
)</f>
        <v>Adult</v>
      </c>
      <c r="J137" s="4" t="s">
        <v>23</v>
      </c>
      <c r="K137" s="4">
        <v>2</v>
      </c>
      <c r="L137" s="5">
        <v>300</v>
      </c>
      <c r="M137" s="5">
        <f xml:space="preserve"> K137*L137</f>
        <v>600</v>
      </c>
      <c r="N137" s="14">
        <f xml:space="preserve"> M137 * $Q$3</f>
        <v>9</v>
      </c>
      <c r="O137" s="5"/>
    </row>
    <row r="138" spans="1:15">
      <c r="A138" s="2">
        <v>137</v>
      </c>
      <c r="B138" s="4">
        <f>DAY(E138)</f>
        <v>18</v>
      </c>
      <c r="C138" s="4">
        <f>MONTH(E138)</f>
        <v>11</v>
      </c>
      <c r="D138" s="4">
        <f>YEAR(E138)</f>
        <v>2023</v>
      </c>
      <c r="E138" s="3">
        <v>45248</v>
      </c>
      <c r="F138" s="4" t="s">
        <v>160</v>
      </c>
      <c r="G138" s="4" t="s">
        <v>15</v>
      </c>
      <c r="H138" s="4">
        <v>46</v>
      </c>
      <c r="I138" s="4" t="str" cm="1">
        <f t="array" ref="I138">_xlfn.IFS(
  H138&lt;30,"Young Adult",
  H138&lt;50,"Adult",
  H138&gt;=50,"Senior"
)</f>
        <v>Adult</v>
      </c>
      <c r="J138" s="4" t="s">
        <v>16</v>
      </c>
      <c r="K138" s="4">
        <v>2</v>
      </c>
      <c r="L138" s="5">
        <v>500</v>
      </c>
      <c r="M138" s="5">
        <f xml:space="preserve"> K138*L138</f>
        <v>1000</v>
      </c>
      <c r="N138" s="14">
        <f xml:space="preserve"> M138 * $Q$3</f>
        <v>15</v>
      </c>
      <c r="O138" s="5"/>
    </row>
    <row r="139" spans="1:15">
      <c r="A139" s="2">
        <v>138</v>
      </c>
      <c r="B139" s="4">
        <f>DAY(E139)</f>
        <v>23</v>
      </c>
      <c r="C139" s="4">
        <f>MONTH(E139)</f>
        <v>3</v>
      </c>
      <c r="D139" s="4">
        <f>YEAR(E139)</f>
        <v>2023</v>
      </c>
      <c r="E139" s="17">
        <v>45008</v>
      </c>
      <c r="F139" s="4" t="s">
        <v>161</v>
      </c>
      <c r="G139" s="4" t="s">
        <v>15</v>
      </c>
      <c r="H139" s="4">
        <v>49</v>
      </c>
      <c r="I139" s="4" t="str" cm="1">
        <f t="array" ref="I139">_xlfn.IFS(
  H139&lt;30,"Young Adult",
  H139&lt;50,"Adult",
  H139&gt;=50,"Senior"
)</f>
        <v>Adult</v>
      </c>
      <c r="J139" s="4" t="s">
        <v>20</v>
      </c>
      <c r="K139" s="4">
        <v>4</v>
      </c>
      <c r="L139" s="5">
        <v>50</v>
      </c>
      <c r="M139" s="5">
        <f xml:space="preserve"> K139*L139</f>
        <v>200</v>
      </c>
      <c r="N139" s="14">
        <f xml:space="preserve"> M139 * $Q$3</f>
        <v>3</v>
      </c>
      <c r="O139" s="5"/>
    </row>
    <row r="140" spans="1:15">
      <c r="A140" s="2">
        <v>139</v>
      </c>
      <c r="B140" s="4">
        <f>DAY(E140)</f>
        <v>15</v>
      </c>
      <c r="C140" s="4">
        <f>MONTH(E140)</f>
        <v>12</v>
      </c>
      <c r="D140" s="4">
        <f>YEAR(E140)</f>
        <v>2023</v>
      </c>
      <c r="E140" s="3">
        <v>45275</v>
      </c>
      <c r="F140" s="4" t="s">
        <v>162</v>
      </c>
      <c r="G140" s="4" t="s">
        <v>15</v>
      </c>
      <c r="H140" s="4">
        <v>36</v>
      </c>
      <c r="I140" s="4" t="str" cm="1">
        <f t="array" ref="I140">_xlfn.IFS(
  H140&lt;30,"Young Adult",
  H140&lt;50,"Adult",
  H140&gt;=50,"Senior"
)</f>
        <v>Adult</v>
      </c>
      <c r="J140" s="4" t="s">
        <v>16</v>
      </c>
      <c r="K140" s="4">
        <v>4</v>
      </c>
      <c r="L140" s="5">
        <v>500</v>
      </c>
      <c r="M140" s="5">
        <f xml:space="preserve"> K140*L140</f>
        <v>2000</v>
      </c>
      <c r="N140" s="14">
        <f xml:space="preserve"> M140 * $Q$3</f>
        <v>30</v>
      </c>
      <c r="O140" s="5"/>
    </row>
    <row r="141" spans="1:15">
      <c r="A141" s="2">
        <v>140</v>
      </c>
      <c r="B141" s="4">
        <f>DAY(E141)</f>
        <v>5</v>
      </c>
      <c r="C141" s="4">
        <f>MONTH(E141)</f>
        <v>8</v>
      </c>
      <c r="D141" s="4">
        <f>YEAR(E141)</f>
        <v>2023</v>
      </c>
      <c r="E141" s="3">
        <v>45143</v>
      </c>
      <c r="F141" s="4" t="s">
        <v>163</v>
      </c>
      <c r="G141" s="4" t="s">
        <v>15</v>
      </c>
      <c r="H141" s="4">
        <v>38</v>
      </c>
      <c r="I141" s="4" t="str" cm="1">
        <f t="array" ref="I141">_xlfn.IFS(
  H141&lt;30,"Young Adult",
  H141&lt;50,"Adult",
  H141&gt;=50,"Senior"
)</f>
        <v>Adult</v>
      </c>
      <c r="J141" s="4" t="s">
        <v>23</v>
      </c>
      <c r="K141" s="4">
        <v>1</v>
      </c>
      <c r="L141" s="5">
        <v>30</v>
      </c>
      <c r="M141" s="5">
        <f xml:space="preserve"> K141*L141</f>
        <v>30</v>
      </c>
      <c r="N141" s="14">
        <f xml:space="preserve"> M141 * $Q$3</f>
        <v>0.44999999999999996</v>
      </c>
      <c r="O141" s="5"/>
    </row>
    <row r="142" spans="1:15">
      <c r="A142" s="2">
        <v>141</v>
      </c>
      <c r="B142" s="4">
        <f>DAY(E142)</f>
        <v>2</v>
      </c>
      <c r="C142" s="4">
        <f>MONTH(E142)</f>
        <v>11</v>
      </c>
      <c r="D142" s="4">
        <f>YEAR(E142)</f>
        <v>2023</v>
      </c>
      <c r="E142" s="3">
        <v>45232</v>
      </c>
      <c r="F142" s="4" t="s">
        <v>164</v>
      </c>
      <c r="G142" s="4" t="s">
        <v>19</v>
      </c>
      <c r="H142" s="4">
        <v>22</v>
      </c>
      <c r="I142" s="4" t="str" cm="1">
        <f t="array" ref="I142">_xlfn.IFS(
  H142&lt;30,"Young Adult",
  H142&lt;50,"Adult",
  H142&gt;=50,"Senior"
)</f>
        <v>Young Adult</v>
      </c>
      <c r="J142" s="4" t="s">
        <v>23</v>
      </c>
      <c r="K142" s="4">
        <v>1</v>
      </c>
      <c r="L142" s="5">
        <v>50</v>
      </c>
      <c r="M142" s="5">
        <f xml:space="preserve"> K142*L142</f>
        <v>50</v>
      </c>
      <c r="N142" s="14">
        <f xml:space="preserve"> M142 * $Q$3</f>
        <v>0.75</v>
      </c>
      <c r="O142" s="5"/>
    </row>
    <row r="143" spans="1:15">
      <c r="A143" s="2">
        <v>142</v>
      </c>
      <c r="B143" s="4">
        <f>DAY(E143)</f>
        <v>2</v>
      </c>
      <c r="C143" s="4">
        <f>MONTH(E143)</f>
        <v>2</v>
      </c>
      <c r="D143" s="4">
        <f>YEAR(E143)</f>
        <v>2023</v>
      </c>
      <c r="E143" s="3">
        <v>44959</v>
      </c>
      <c r="F143" s="4" t="s">
        <v>165</v>
      </c>
      <c r="G143" s="4" t="s">
        <v>15</v>
      </c>
      <c r="H143" s="4">
        <v>35</v>
      </c>
      <c r="I143" s="4" t="str" cm="1">
        <f t="array" ref="I143">_xlfn.IFS(
  H143&lt;30,"Young Adult",
  H143&lt;50,"Adult",
  H143&gt;=50,"Senior"
)</f>
        <v>Adult</v>
      </c>
      <c r="J143" s="4" t="s">
        <v>23</v>
      </c>
      <c r="K143" s="4">
        <v>4</v>
      </c>
      <c r="L143" s="5">
        <v>300</v>
      </c>
      <c r="M143" s="5">
        <f xml:space="preserve"> K143*L143</f>
        <v>1200</v>
      </c>
      <c r="N143" s="14">
        <f xml:space="preserve"> M143 * $Q$3</f>
        <v>18</v>
      </c>
      <c r="O143" s="5"/>
    </row>
    <row r="144" spans="1:15">
      <c r="A144" s="2">
        <v>143</v>
      </c>
      <c r="B144" s="4">
        <f>DAY(E144)</f>
        <v>17</v>
      </c>
      <c r="C144" s="4">
        <f>MONTH(E144)</f>
        <v>7</v>
      </c>
      <c r="D144" s="4">
        <f>YEAR(E144)</f>
        <v>2023</v>
      </c>
      <c r="E144" s="3">
        <v>45124</v>
      </c>
      <c r="F144" s="4" t="s">
        <v>166</v>
      </c>
      <c r="G144" s="4" t="s">
        <v>19</v>
      </c>
      <c r="H144" s="4">
        <v>45</v>
      </c>
      <c r="I144" s="4" t="str" cm="1">
        <f t="array" ref="I144">_xlfn.IFS(
  H144&lt;30,"Young Adult",
  H144&lt;50,"Adult",
  H144&gt;=50,"Senior"
)</f>
        <v>Adult</v>
      </c>
      <c r="J144" s="4" t="s">
        <v>20</v>
      </c>
      <c r="K144" s="4">
        <v>1</v>
      </c>
      <c r="L144" s="5">
        <v>50</v>
      </c>
      <c r="M144" s="5">
        <f xml:space="preserve"> K144*L144</f>
        <v>50</v>
      </c>
      <c r="N144" s="14">
        <f xml:space="preserve"> M144 * $Q$3</f>
        <v>0.75</v>
      </c>
      <c r="O144" s="5"/>
    </row>
    <row r="145" spans="1:15">
      <c r="A145" s="2">
        <v>144</v>
      </c>
      <c r="B145" s="4">
        <f>DAY(E145)</f>
        <v>15</v>
      </c>
      <c r="C145" s="4">
        <f>MONTH(E145)</f>
        <v>7</v>
      </c>
      <c r="D145" s="4">
        <f>YEAR(E145)</f>
        <v>2023</v>
      </c>
      <c r="E145" s="3">
        <v>45122</v>
      </c>
      <c r="F145" s="4" t="s">
        <v>167</v>
      </c>
      <c r="G145" s="4" t="s">
        <v>19</v>
      </c>
      <c r="H145" s="4">
        <v>59</v>
      </c>
      <c r="I145" s="4" t="str" cm="1">
        <f t="array" ref="I145">_xlfn.IFS(
  H145&lt;30,"Young Adult",
  H145&lt;50,"Adult",
  H145&gt;=50,"Senior"
)</f>
        <v>Senior</v>
      </c>
      <c r="J145" s="4" t="s">
        <v>16</v>
      </c>
      <c r="K145" s="4">
        <v>3</v>
      </c>
      <c r="L145" s="5">
        <v>500</v>
      </c>
      <c r="M145" s="5">
        <f xml:space="preserve"> K145*L145</f>
        <v>1500</v>
      </c>
      <c r="N145" s="14">
        <f xml:space="preserve"> M145 * $Q$3</f>
        <v>22.5</v>
      </c>
      <c r="O145" s="5"/>
    </row>
    <row r="146" spans="1:15">
      <c r="A146" s="2">
        <v>145</v>
      </c>
      <c r="B146" s="4">
        <f>DAY(E146)</f>
        <v>2</v>
      </c>
      <c r="C146" s="4">
        <f>MONTH(E146)</f>
        <v>11</v>
      </c>
      <c r="D146" s="4">
        <f>YEAR(E146)</f>
        <v>2023</v>
      </c>
      <c r="E146" s="3">
        <v>45232</v>
      </c>
      <c r="F146" s="4" t="s">
        <v>168</v>
      </c>
      <c r="G146" s="4" t="s">
        <v>19</v>
      </c>
      <c r="H146" s="4">
        <v>39</v>
      </c>
      <c r="I146" s="4" t="str" cm="1">
        <f t="array" ref="I146">_xlfn.IFS(
  H146&lt;30,"Young Adult",
  H146&lt;50,"Adult",
  H146&gt;=50,"Senior"
)</f>
        <v>Adult</v>
      </c>
      <c r="J146" s="4" t="s">
        <v>20</v>
      </c>
      <c r="K146" s="4">
        <v>3</v>
      </c>
      <c r="L146" s="5">
        <v>25</v>
      </c>
      <c r="M146" s="5">
        <f xml:space="preserve"> K146*L146</f>
        <v>75</v>
      </c>
      <c r="N146" s="14">
        <f xml:space="preserve"> M146 * $Q$3</f>
        <v>1.125</v>
      </c>
      <c r="O146" s="5"/>
    </row>
    <row r="147" spans="1:15">
      <c r="A147" s="2">
        <v>146</v>
      </c>
      <c r="B147" s="4">
        <f>DAY(E147)</f>
        <v>28</v>
      </c>
      <c r="C147" s="4">
        <f>MONTH(E147)</f>
        <v>8</v>
      </c>
      <c r="D147" s="4">
        <f>YEAR(E147)</f>
        <v>2023</v>
      </c>
      <c r="E147" s="3">
        <v>45166</v>
      </c>
      <c r="F147" s="4" t="s">
        <v>169</v>
      </c>
      <c r="G147" s="4" t="s">
        <v>15</v>
      </c>
      <c r="H147" s="4">
        <v>38</v>
      </c>
      <c r="I147" s="4" t="str" cm="1">
        <f t="array" ref="I147">_xlfn.IFS(
  H147&lt;30,"Young Adult",
  H147&lt;50,"Adult",
  H147&gt;=50,"Senior"
)</f>
        <v>Adult</v>
      </c>
      <c r="J147" s="4" t="s">
        <v>20</v>
      </c>
      <c r="K147" s="4">
        <v>4</v>
      </c>
      <c r="L147" s="5">
        <v>50</v>
      </c>
      <c r="M147" s="5">
        <f xml:space="preserve"> K147*L147</f>
        <v>200</v>
      </c>
      <c r="N147" s="14">
        <f xml:space="preserve"> M147 * $Q$3</f>
        <v>3</v>
      </c>
      <c r="O147" s="5"/>
    </row>
    <row r="148" spans="1:15">
      <c r="A148" s="2">
        <v>147</v>
      </c>
      <c r="B148" s="4">
        <f>DAY(E148)</f>
        <v>28</v>
      </c>
      <c r="C148" s="4">
        <f>MONTH(E148)</f>
        <v>9</v>
      </c>
      <c r="D148" s="4">
        <f>YEAR(E148)</f>
        <v>2023</v>
      </c>
      <c r="E148" s="3">
        <v>45197</v>
      </c>
      <c r="F148" s="4" t="s">
        <v>170</v>
      </c>
      <c r="G148" s="4" t="s">
        <v>15</v>
      </c>
      <c r="H148" s="4">
        <v>23</v>
      </c>
      <c r="I148" s="4" t="str" cm="1">
        <f t="array" ref="I148">_xlfn.IFS(
  H148&lt;30,"Young Adult",
  H148&lt;50,"Adult",
  H148&gt;=50,"Senior"
)</f>
        <v>Young Adult</v>
      </c>
      <c r="J148" s="4" t="s">
        <v>23</v>
      </c>
      <c r="K148" s="4">
        <v>1</v>
      </c>
      <c r="L148" s="5">
        <v>300</v>
      </c>
      <c r="M148" s="5">
        <f xml:space="preserve"> K148*L148</f>
        <v>300</v>
      </c>
      <c r="N148" s="14">
        <f xml:space="preserve"> M148 * $Q$3</f>
        <v>4.5</v>
      </c>
      <c r="O148" s="5"/>
    </row>
    <row r="149" spans="1:15">
      <c r="A149" s="2">
        <v>148</v>
      </c>
      <c r="B149" s="4">
        <f>DAY(E149)</f>
        <v>9</v>
      </c>
      <c r="C149" s="4">
        <f>MONTH(E149)</f>
        <v>5</v>
      </c>
      <c r="D149" s="4">
        <f>YEAR(E149)</f>
        <v>2023</v>
      </c>
      <c r="E149" s="17">
        <v>45055</v>
      </c>
      <c r="F149" s="4" t="s">
        <v>171</v>
      </c>
      <c r="G149" s="4" t="s">
        <v>15</v>
      </c>
      <c r="H149" s="4">
        <v>18</v>
      </c>
      <c r="I149" s="4" t="str" cm="1">
        <f t="array" ref="I149">_xlfn.IFS(
  H149&lt;30,"Young Adult",
  H149&lt;50,"Adult",
  H149&gt;=50,"Senior"
)</f>
        <v>Young Adult</v>
      </c>
      <c r="J149" s="4" t="s">
        <v>20</v>
      </c>
      <c r="K149" s="4">
        <v>2</v>
      </c>
      <c r="L149" s="5">
        <v>30</v>
      </c>
      <c r="M149" s="5">
        <f xml:space="preserve"> K149*L149</f>
        <v>60</v>
      </c>
      <c r="N149" s="14">
        <f xml:space="preserve"> M149 * $Q$3</f>
        <v>0.89999999999999991</v>
      </c>
      <c r="O149" s="5"/>
    </row>
    <row r="150" spans="1:15">
      <c r="A150" s="2">
        <v>149</v>
      </c>
      <c r="B150" s="4">
        <f>DAY(E150)</f>
        <v>11</v>
      </c>
      <c r="C150" s="4">
        <f>MONTH(E150)</f>
        <v>10</v>
      </c>
      <c r="D150" s="4">
        <f>YEAR(E150)</f>
        <v>2023</v>
      </c>
      <c r="E150" s="3">
        <v>45210</v>
      </c>
      <c r="F150" s="4" t="s">
        <v>172</v>
      </c>
      <c r="G150" s="4" t="s">
        <v>15</v>
      </c>
      <c r="H150" s="4">
        <v>22</v>
      </c>
      <c r="I150" s="4" t="str" cm="1">
        <f t="array" ref="I150">_xlfn.IFS(
  H150&lt;30,"Young Adult",
  H150&lt;50,"Adult",
  H150&gt;=50,"Senior"
)</f>
        <v>Young Adult</v>
      </c>
      <c r="J150" s="4" t="s">
        <v>20</v>
      </c>
      <c r="K150" s="4">
        <v>3</v>
      </c>
      <c r="L150" s="5">
        <v>25</v>
      </c>
      <c r="M150" s="5">
        <f xml:space="preserve"> K150*L150</f>
        <v>75</v>
      </c>
      <c r="N150" s="14">
        <f xml:space="preserve"> M150 * $Q$3</f>
        <v>1.125</v>
      </c>
      <c r="O150" s="5"/>
    </row>
    <row r="151" spans="1:15">
      <c r="A151" s="2">
        <v>150</v>
      </c>
      <c r="B151" s="4">
        <f>DAY(E151)</f>
        <v>6</v>
      </c>
      <c r="C151" s="4">
        <f>MONTH(E151)</f>
        <v>1</v>
      </c>
      <c r="D151" s="4">
        <f>YEAR(E151)</f>
        <v>2023</v>
      </c>
      <c r="E151" s="3">
        <v>44932</v>
      </c>
      <c r="F151" s="4" t="s">
        <v>173</v>
      </c>
      <c r="G151" s="4" t="s">
        <v>19</v>
      </c>
      <c r="H151" s="4">
        <v>58</v>
      </c>
      <c r="I151" s="4" t="str" cm="1">
        <f t="array" ref="I151">_xlfn.IFS(
  H151&lt;30,"Young Adult",
  H151&lt;50,"Adult",
  H151&gt;=50,"Senior"
)</f>
        <v>Senior</v>
      </c>
      <c r="J151" s="4" t="s">
        <v>23</v>
      </c>
      <c r="K151" s="4">
        <v>4</v>
      </c>
      <c r="L151" s="5">
        <v>30</v>
      </c>
      <c r="M151" s="5">
        <f xml:space="preserve"> K151*L151</f>
        <v>120</v>
      </c>
      <c r="N151" s="14">
        <f xml:space="preserve"> M151 * $Q$3</f>
        <v>1.7999999999999998</v>
      </c>
      <c r="O151" s="5"/>
    </row>
    <row r="152" spans="1:15">
      <c r="A152" s="2">
        <v>151</v>
      </c>
      <c r="B152" s="4">
        <f>DAY(E152)</f>
        <v>15</v>
      </c>
      <c r="C152" s="4">
        <f>MONTH(E152)</f>
        <v>12</v>
      </c>
      <c r="D152" s="4">
        <f>YEAR(E152)</f>
        <v>2023</v>
      </c>
      <c r="E152" s="3">
        <v>45275</v>
      </c>
      <c r="F152" s="4" t="s">
        <v>174</v>
      </c>
      <c r="G152" s="4" t="s">
        <v>15</v>
      </c>
      <c r="H152" s="4">
        <v>29</v>
      </c>
      <c r="I152" s="4" t="str" cm="1">
        <f t="array" ref="I152">_xlfn.IFS(
  H152&lt;30,"Young Adult",
  H152&lt;50,"Adult",
  H152&gt;=50,"Senior"
)</f>
        <v>Young Adult</v>
      </c>
      <c r="J152" s="4" t="s">
        <v>20</v>
      </c>
      <c r="K152" s="4">
        <v>1</v>
      </c>
      <c r="L152" s="5">
        <v>50</v>
      </c>
      <c r="M152" s="5">
        <f xml:space="preserve"> K152*L152</f>
        <v>50</v>
      </c>
      <c r="N152" s="14">
        <f xml:space="preserve"> M152 * $Q$3</f>
        <v>0.75</v>
      </c>
      <c r="O152" s="5"/>
    </row>
    <row r="153" spans="1:15">
      <c r="A153" s="2">
        <v>152</v>
      </c>
      <c r="B153" s="4">
        <f>DAY(E153)</f>
        <v>28</v>
      </c>
      <c r="C153" s="4">
        <f>MONTH(E153)</f>
        <v>2</v>
      </c>
      <c r="D153" s="4">
        <f>YEAR(E153)</f>
        <v>2023</v>
      </c>
      <c r="E153" s="3">
        <v>44985</v>
      </c>
      <c r="F153" s="4" t="s">
        <v>175</v>
      </c>
      <c r="G153" s="4" t="s">
        <v>15</v>
      </c>
      <c r="H153" s="4">
        <v>43</v>
      </c>
      <c r="I153" s="4" t="str" cm="1">
        <f t="array" ref="I153">_xlfn.IFS(
  H153&lt;30,"Young Adult",
  H153&lt;50,"Adult",
  H153&gt;=50,"Senior"
)</f>
        <v>Adult</v>
      </c>
      <c r="J153" s="4" t="s">
        <v>23</v>
      </c>
      <c r="K153" s="4">
        <v>4</v>
      </c>
      <c r="L153" s="5">
        <v>500</v>
      </c>
      <c r="M153" s="5">
        <f xml:space="preserve"> K153*L153</f>
        <v>2000</v>
      </c>
      <c r="N153" s="14">
        <f xml:space="preserve"> M153 * $Q$3</f>
        <v>30</v>
      </c>
      <c r="O153" s="5"/>
    </row>
    <row r="154" spans="1:15">
      <c r="A154" s="2">
        <v>153</v>
      </c>
      <c r="B154" s="4">
        <f>DAY(E154)</f>
        <v>16</v>
      </c>
      <c r="C154" s="4">
        <f>MONTH(E154)</f>
        <v>12</v>
      </c>
      <c r="D154" s="4">
        <f>YEAR(E154)</f>
        <v>2023</v>
      </c>
      <c r="E154" s="3">
        <v>45276</v>
      </c>
      <c r="F154" s="4" t="s">
        <v>176</v>
      </c>
      <c r="G154" s="4" t="s">
        <v>15</v>
      </c>
      <c r="H154" s="4">
        <v>63</v>
      </c>
      <c r="I154" s="4" t="str" cm="1">
        <f t="array" ref="I154">_xlfn.IFS(
  H154&lt;30,"Young Adult",
  H154&lt;50,"Adult",
  H154&gt;=50,"Senior"
)</f>
        <v>Senior</v>
      </c>
      <c r="J154" s="4" t="s">
        <v>23</v>
      </c>
      <c r="K154" s="4">
        <v>2</v>
      </c>
      <c r="L154" s="5">
        <v>500</v>
      </c>
      <c r="M154" s="5">
        <f xml:space="preserve"> K154*L154</f>
        <v>1000</v>
      </c>
      <c r="N154" s="14">
        <f xml:space="preserve"> M154 * $Q$3</f>
        <v>15</v>
      </c>
      <c r="O154" s="5"/>
    </row>
    <row r="155" spans="1:15">
      <c r="A155" s="2">
        <v>154</v>
      </c>
      <c r="B155" s="4">
        <f>DAY(E155)</f>
        <v>2</v>
      </c>
      <c r="C155" s="4">
        <f>MONTH(E155)</f>
        <v>10</v>
      </c>
      <c r="D155" s="4">
        <f>YEAR(E155)</f>
        <v>2023</v>
      </c>
      <c r="E155" s="3">
        <v>45201</v>
      </c>
      <c r="F155" s="4" t="s">
        <v>177</v>
      </c>
      <c r="G155" s="4" t="s">
        <v>15</v>
      </c>
      <c r="H155" s="4">
        <v>51</v>
      </c>
      <c r="I155" s="4" t="str" cm="1">
        <f t="array" ref="I155">_xlfn.IFS(
  H155&lt;30,"Young Adult",
  H155&lt;50,"Adult",
  H155&gt;=50,"Senior"
)</f>
        <v>Senior</v>
      </c>
      <c r="J155" s="4" t="s">
        <v>23</v>
      </c>
      <c r="K155" s="4">
        <v>3</v>
      </c>
      <c r="L155" s="5">
        <v>300</v>
      </c>
      <c r="M155" s="5">
        <f xml:space="preserve"> K155*L155</f>
        <v>900</v>
      </c>
      <c r="N155" s="14">
        <f xml:space="preserve"> M155 * $Q$3</f>
        <v>13.5</v>
      </c>
      <c r="O155" s="5"/>
    </row>
    <row r="156" spans="1:15">
      <c r="A156" s="2">
        <v>155</v>
      </c>
      <c r="B156" s="4">
        <f>DAY(E156)</f>
        <v>17</v>
      </c>
      <c r="C156" s="4">
        <f>MONTH(E156)</f>
        <v>5</v>
      </c>
      <c r="D156" s="4">
        <f>YEAR(E156)</f>
        <v>2023</v>
      </c>
      <c r="E156" s="17">
        <v>45063</v>
      </c>
      <c r="F156" s="4" t="s">
        <v>178</v>
      </c>
      <c r="G156" s="4" t="s">
        <v>15</v>
      </c>
      <c r="H156" s="4">
        <v>31</v>
      </c>
      <c r="I156" s="4" t="str" cm="1">
        <f t="array" ref="I156">_xlfn.IFS(
  H156&lt;30,"Young Adult",
  H156&lt;50,"Adult",
  H156&gt;=50,"Senior"
)</f>
        <v>Adult</v>
      </c>
      <c r="J156" s="4" t="s">
        <v>23</v>
      </c>
      <c r="K156" s="4">
        <v>4</v>
      </c>
      <c r="L156" s="5">
        <v>500</v>
      </c>
      <c r="M156" s="5">
        <f xml:space="preserve"> K156*L156</f>
        <v>2000</v>
      </c>
      <c r="N156" s="14">
        <f xml:space="preserve"> M156 * $Q$3</f>
        <v>30</v>
      </c>
      <c r="O156" s="5"/>
    </row>
    <row r="157" spans="1:15">
      <c r="A157" s="2">
        <v>156</v>
      </c>
      <c r="B157" s="4">
        <f>DAY(E157)</f>
        <v>25</v>
      </c>
      <c r="C157" s="4">
        <f>MONTH(E157)</f>
        <v>11</v>
      </c>
      <c r="D157" s="4">
        <f>YEAR(E157)</f>
        <v>2023</v>
      </c>
      <c r="E157" s="3">
        <v>45255</v>
      </c>
      <c r="F157" s="4" t="s">
        <v>179</v>
      </c>
      <c r="G157" s="4" t="s">
        <v>19</v>
      </c>
      <c r="H157" s="4">
        <v>43</v>
      </c>
      <c r="I157" s="4" t="str" cm="1">
        <f t="array" ref="I157">_xlfn.IFS(
  H157&lt;30,"Young Adult",
  H157&lt;50,"Adult",
  H157&gt;=50,"Senior"
)</f>
        <v>Adult</v>
      </c>
      <c r="J157" s="4" t="s">
        <v>20</v>
      </c>
      <c r="K157" s="4">
        <v>4</v>
      </c>
      <c r="L157" s="5">
        <v>25</v>
      </c>
      <c r="M157" s="5">
        <f xml:space="preserve"> K157*L157</f>
        <v>100</v>
      </c>
      <c r="N157" s="14">
        <f xml:space="preserve"> M157 * $Q$3</f>
        <v>1.5</v>
      </c>
      <c r="O157" s="5"/>
    </row>
    <row r="158" spans="1:15">
      <c r="A158" s="2">
        <v>157</v>
      </c>
      <c r="B158" s="4">
        <f>DAY(E158)</f>
        <v>24</v>
      </c>
      <c r="C158" s="4">
        <f>MONTH(E158)</f>
        <v>6</v>
      </c>
      <c r="D158" s="4">
        <f>YEAR(E158)</f>
        <v>2023</v>
      </c>
      <c r="E158" s="3">
        <v>45101</v>
      </c>
      <c r="F158" s="4" t="s">
        <v>180</v>
      </c>
      <c r="G158" s="4" t="s">
        <v>15</v>
      </c>
      <c r="H158" s="4">
        <v>62</v>
      </c>
      <c r="I158" s="4" t="str" cm="1">
        <f t="array" ref="I158">_xlfn.IFS(
  H158&lt;30,"Young Adult",
  H158&lt;50,"Adult",
  H158&gt;=50,"Senior"
)</f>
        <v>Senior</v>
      </c>
      <c r="J158" s="4" t="s">
        <v>23</v>
      </c>
      <c r="K158" s="4">
        <v>4</v>
      </c>
      <c r="L158" s="5">
        <v>500</v>
      </c>
      <c r="M158" s="5">
        <f xml:space="preserve"> K158*L158</f>
        <v>2000</v>
      </c>
      <c r="N158" s="14">
        <f xml:space="preserve"> M158 * $Q$3</f>
        <v>30</v>
      </c>
      <c r="O158" s="5"/>
    </row>
    <row r="159" spans="1:15">
      <c r="A159" s="2">
        <v>158</v>
      </c>
      <c r="B159" s="4">
        <f>DAY(E159)</f>
        <v>27</v>
      </c>
      <c r="C159" s="4">
        <f>MONTH(E159)</f>
        <v>2</v>
      </c>
      <c r="D159" s="4">
        <f>YEAR(E159)</f>
        <v>2023</v>
      </c>
      <c r="E159" s="3">
        <v>44984</v>
      </c>
      <c r="F159" s="4" t="s">
        <v>181</v>
      </c>
      <c r="G159" s="4" t="s">
        <v>19</v>
      </c>
      <c r="H159" s="4">
        <v>44</v>
      </c>
      <c r="I159" s="4" t="str" cm="1">
        <f t="array" ref="I159">_xlfn.IFS(
  H159&lt;30,"Young Adult",
  H159&lt;50,"Adult",
  H159&gt;=50,"Senior"
)</f>
        <v>Adult</v>
      </c>
      <c r="J159" s="4" t="s">
        <v>23</v>
      </c>
      <c r="K159" s="4">
        <v>2</v>
      </c>
      <c r="L159" s="5">
        <v>300</v>
      </c>
      <c r="M159" s="5">
        <f xml:space="preserve"> K159*L159</f>
        <v>600</v>
      </c>
      <c r="N159" s="14">
        <f xml:space="preserve"> M159 * $Q$3</f>
        <v>9</v>
      </c>
      <c r="O159" s="5"/>
    </row>
    <row r="160" spans="1:15">
      <c r="A160" s="2">
        <v>159</v>
      </c>
      <c r="B160" s="4">
        <f>DAY(E160)</f>
        <v>31</v>
      </c>
      <c r="C160" s="4">
        <f>MONTH(E160)</f>
        <v>5</v>
      </c>
      <c r="D160" s="4">
        <f>YEAR(E160)</f>
        <v>2023</v>
      </c>
      <c r="E160" s="17">
        <v>45077</v>
      </c>
      <c r="F160" s="4" t="s">
        <v>182</v>
      </c>
      <c r="G160" s="4" t="s">
        <v>15</v>
      </c>
      <c r="H160" s="4">
        <v>26</v>
      </c>
      <c r="I160" s="4" t="str" cm="1">
        <f t="array" ref="I160">_xlfn.IFS(
  H160&lt;30,"Young Adult",
  H160&lt;50,"Adult",
  H160&gt;=50,"Senior"
)</f>
        <v>Young Adult</v>
      </c>
      <c r="J160" s="4" t="s">
        <v>20</v>
      </c>
      <c r="K160" s="4">
        <v>4</v>
      </c>
      <c r="L160" s="5">
        <v>50</v>
      </c>
      <c r="M160" s="5">
        <f xml:space="preserve"> K160*L160</f>
        <v>200</v>
      </c>
      <c r="N160" s="14">
        <f xml:space="preserve"> M160 * $Q$3</f>
        <v>3</v>
      </c>
      <c r="O160" s="5"/>
    </row>
    <row r="161" spans="1:15">
      <c r="A161" s="2">
        <v>160</v>
      </c>
      <c r="B161" s="4">
        <f>DAY(E161)</f>
        <v>11</v>
      </c>
      <c r="C161" s="4">
        <f>MONTH(E161)</f>
        <v>8</v>
      </c>
      <c r="D161" s="4">
        <f>YEAR(E161)</f>
        <v>2023</v>
      </c>
      <c r="E161" s="3">
        <v>45149</v>
      </c>
      <c r="F161" s="4" t="s">
        <v>183</v>
      </c>
      <c r="G161" s="4" t="s">
        <v>19</v>
      </c>
      <c r="H161" s="4">
        <v>43</v>
      </c>
      <c r="I161" s="4" t="str" cm="1">
        <f t="array" ref="I161">_xlfn.IFS(
  H161&lt;30,"Young Adult",
  H161&lt;50,"Adult",
  H161&gt;=50,"Senior"
)</f>
        <v>Adult</v>
      </c>
      <c r="J161" s="4" t="s">
        <v>20</v>
      </c>
      <c r="K161" s="4">
        <v>2</v>
      </c>
      <c r="L161" s="5">
        <v>50</v>
      </c>
      <c r="M161" s="5">
        <f xml:space="preserve"> K161*L161</f>
        <v>100</v>
      </c>
      <c r="N161" s="14">
        <f xml:space="preserve"> M161 * $Q$3</f>
        <v>1.5</v>
      </c>
      <c r="O161" s="5"/>
    </row>
    <row r="162" spans="1:15">
      <c r="A162" s="2">
        <v>161</v>
      </c>
      <c r="B162" s="4">
        <f>DAY(E162)</f>
        <v>22</v>
      </c>
      <c r="C162" s="4">
        <f>MONTH(E162)</f>
        <v>3</v>
      </c>
      <c r="D162" s="4">
        <f>YEAR(E162)</f>
        <v>2023</v>
      </c>
      <c r="E162" s="17">
        <v>45007</v>
      </c>
      <c r="F162" s="4" t="s">
        <v>184</v>
      </c>
      <c r="G162" s="4" t="s">
        <v>15</v>
      </c>
      <c r="H162" s="4">
        <v>64</v>
      </c>
      <c r="I162" s="4" t="str" cm="1">
        <f t="array" ref="I162">_xlfn.IFS(
  H162&lt;30,"Young Adult",
  H162&lt;50,"Adult",
  H162&gt;=50,"Senior"
)</f>
        <v>Senior</v>
      </c>
      <c r="J162" s="4" t="s">
        <v>16</v>
      </c>
      <c r="K162" s="4">
        <v>2</v>
      </c>
      <c r="L162" s="5">
        <v>500</v>
      </c>
      <c r="M162" s="5">
        <f xml:space="preserve"> K162*L162</f>
        <v>1000</v>
      </c>
      <c r="N162" s="14">
        <f xml:space="preserve"> M162 * $Q$3</f>
        <v>15</v>
      </c>
      <c r="O162" s="5"/>
    </row>
    <row r="163" spans="1:15">
      <c r="A163" s="2">
        <v>162</v>
      </c>
      <c r="B163" s="4">
        <f>DAY(E163)</f>
        <v>21</v>
      </c>
      <c r="C163" s="4">
        <f>MONTH(E163)</f>
        <v>8</v>
      </c>
      <c r="D163" s="4">
        <f>YEAR(E163)</f>
        <v>2023</v>
      </c>
      <c r="E163" s="3">
        <v>45159</v>
      </c>
      <c r="F163" s="4" t="s">
        <v>185</v>
      </c>
      <c r="G163" s="4" t="s">
        <v>15</v>
      </c>
      <c r="H163" s="4">
        <v>39</v>
      </c>
      <c r="I163" s="4" t="str" cm="1">
        <f t="array" ref="I163">_xlfn.IFS(
  H163&lt;30,"Young Adult",
  H163&lt;50,"Adult",
  H163&gt;=50,"Senior"
)</f>
        <v>Adult</v>
      </c>
      <c r="J163" s="4" t="s">
        <v>20</v>
      </c>
      <c r="K163" s="4">
        <v>2</v>
      </c>
      <c r="L163" s="5">
        <v>30</v>
      </c>
      <c r="M163" s="5">
        <f xml:space="preserve"> K163*L163</f>
        <v>60</v>
      </c>
      <c r="N163" s="14">
        <f xml:space="preserve"> M163 * $Q$3</f>
        <v>0.89999999999999991</v>
      </c>
      <c r="O163" s="5"/>
    </row>
    <row r="164" spans="1:15">
      <c r="A164" s="2">
        <v>163</v>
      </c>
      <c r="B164" s="4">
        <f>DAY(E164)</f>
        <v>2</v>
      </c>
      <c r="C164" s="4">
        <f>MONTH(E164)</f>
        <v>1</v>
      </c>
      <c r="D164" s="4">
        <f>YEAR(E164)</f>
        <v>2023</v>
      </c>
      <c r="E164" s="3">
        <v>44928</v>
      </c>
      <c r="F164" s="4" t="s">
        <v>186</v>
      </c>
      <c r="G164" s="4" t="s">
        <v>19</v>
      </c>
      <c r="H164" s="4">
        <v>64</v>
      </c>
      <c r="I164" s="4" t="str" cm="1">
        <f t="array" ref="I164">_xlfn.IFS(
  H164&lt;30,"Young Adult",
  H164&lt;50,"Adult",
  H164&gt;=50,"Senior"
)</f>
        <v>Senior</v>
      </c>
      <c r="J164" s="4" t="s">
        <v>20</v>
      </c>
      <c r="K164" s="4">
        <v>3</v>
      </c>
      <c r="L164" s="5">
        <v>50</v>
      </c>
      <c r="M164" s="5">
        <f xml:space="preserve"> K164*L164</f>
        <v>150</v>
      </c>
      <c r="N164" s="14">
        <f xml:space="preserve"> M164 * $Q$3</f>
        <v>2.25</v>
      </c>
      <c r="O164" s="5"/>
    </row>
    <row r="165" spans="1:15">
      <c r="A165" s="2">
        <v>164</v>
      </c>
      <c r="B165" s="4">
        <f>DAY(E165)</f>
        <v>15</v>
      </c>
      <c r="C165" s="4">
        <f>MONTH(E165)</f>
        <v>5</v>
      </c>
      <c r="D165" s="4">
        <f>YEAR(E165)</f>
        <v>2023</v>
      </c>
      <c r="E165" s="17">
        <v>45061</v>
      </c>
      <c r="F165" s="4" t="s">
        <v>187</v>
      </c>
      <c r="G165" s="4" t="s">
        <v>19</v>
      </c>
      <c r="H165" s="4">
        <v>47</v>
      </c>
      <c r="I165" s="4" t="str" cm="1">
        <f t="array" ref="I165">_xlfn.IFS(
  H165&lt;30,"Young Adult",
  H165&lt;50,"Adult",
  H165&gt;=50,"Senior"
)</f>
        <v>Adult</v>
      </c>
      <c r="J165" s="4" t="s">
        <v>16</v>
      </c>
      <c r="K165" s="4">
        <v>3</v>
      </c>
      <c r="L165" s="5">
        <v>500</v>
      </c>
      <c r="M165" s="5">
        <f xml:space="preserve"> K165*L165</f>
        <v>1500</v>
      </c>
      <c r="N165" s="14">
        <f xml:space="preserve"> M165 * $Q$3</f>
        <v>22.5</v>
      </c>
      <c r="O165" s="5"/>
    </row>
    <row r="166" spans="1:15">
      <c r="A166" s="2">
        <v>165</v>
      </c>
      <c r="B166" s="4">
        <f>DAY(E166)</f>
        <v>14</v>
      </c>
      <c r="C166" s="4">
        <f>MONTH(E166)</f>
        <v>9</v>
      </c>
      <c r="D166" s="4">
        <f>YEAR(E166)</f>
        <v>2023</v>
      </c>
      <c r="E166" s="3">
        <v>45183</v>
      </c>
      <c r="F166" s="4" t="s">
        <v>188</v>
      </c>
      <c r="G166" s="4" t="s">
        <v>19</v>
      </c>
      <c r="H166" s="4">
        <v>60</v>
      </c>
      <c r="I166" s="4" t="str" cm="1">
        <f t="array" ref="I166">_xlfn.IFS(
  H166&lt;30,"Young Adult",
  H166&lt;50,"Adult",
  H166&gt;=50,"Senior"
)</f>
        <v>Senior</v>
      </c>
      <c r="J166" s="4" t="s">
        <v>20</v>
      </c>
      <c r="K166" s="4">
        <v>4</v>
      </c>
      <c r="L166" s="5">
        <v>300</v>
      </c>
      <c r="M166" s="5">
        <f xml:space="preserve"> K166*L166</f>
        <v>1200</v>
      </c>
      <c r="N166" s="14">
        <f xml:space="preserve"> M166 * $Q$3</f>
        <v>18</v>
      </c>
      <c r="O166" s="5"/>
    </row>
    <row r="167" spans="1:15">
      <c r="A167" s="2">
        <v>166</v>
      </c>
      <c r="B167" s="4">
        <f>DAY(E167)</f>
        <v>2</v>
      </c>
      <c r="C167" s="4">
        <f>MONTH(E167)</f>
        <v>4</v>
      </c>
      <c r="D167" s="4">
        <f>YEAR(E167)</f>
        <v>2023</v>
      </c>
      <c r="E167" s="17">
        <v>45018</v>
      </c>
      <c r="F167" s="4" t="s">
        <v>189</v>
      </c>
      <c r="G167" s="4" t="s">
        <v>15</v>
      </c>
      <c r="H167" s="4">
        <v>34</v>
      </c>
      <c r="I167" s="4" t="str" cm="1">
        <f t="array" ref="I167">_xlfn.IFS(
  H167&lt;30,"Young Adult",
  H167&lt;50,"Adult",
  H167&gt;=50,"Senior"
)</f>
        <v>Adult</v>
      </c>
      <c r="J167" s="4" t="s">
        <v>20</v>
      </c>
      <c r="K167" s="4">
        <v>4</v>
      </c>
      <c r="L167" s="5">
        <v>500</v>
      </c>
      <c r="M167" s="5">
        <f xml:space="preserve"> K167*L167</f>
        <v>2000</v>
      </c>
      <c r="N167" s="14">
        <f xml:space="preserve"> M167 * $Q$3</f>
        <v>30</v>
      </c>
      <c r="O167" s="5"/>
    </row>
    <row r="168" spans="1:15">
      <c r="A168" s="2">
        <v>167</v>
      </c>
      <c r="B168" s="4">
        <f>DAY(E168)</f>
        <v>17</v>
      </c>
      <c r="C168" s="4">
        <f>MONTH(E168)</f>
        <v>9</v>
      </c>
      <c r="D168" s="4">
        <f>YEAR(E168)</f>
        <v>2023</v>
      </c>
      <c r="E168" s="3">
        <v>45186</v>
      </c>
      <c r="F168" s="4" t="s">
        <v>190</v>
      </c>
      <c r="G168" s="4" t="s">
        <v>19</v>
      </c>
      <c r="H168" s="4">
        <v>43</v>
      </c>
      <c r="I168" s="4" t="str" cm="1">
        <f t="array" ref="I168">_xlfn.IFS(
  H168&lt;30,"Young Adult",
  H168&lt;50,"Adult",
  H168&gt;=50,"Senior"
)</f>
        <v>Adult</v>
      </c>
      <c r="J168" s="4" t="s">
        <v>20</v>
      </c>
      <c r="K168" s="4">
        <v>3</v>
      </c>
      <c r="L168" s="5">
        <v>50</v>
      </c>
      <c r="M168" s="5">
        <f xml:space="preserve"> K168*L168</f>
        <v>150</v>
      </c>
      <c r="N168" s="14">
        <f xml:space="preserve"> M168 * $Q$3</f>
        <v>2.25</v>
      </c>
      <c r="O168" s="5"/>
    </row>
    <row r="169" spans="1:15">
      <c r="A169" s="2">
        <v>168</v>
      </c>
      <c r="B169" s="4">
        <f>DAY(E169)</f>
        <v>24</v>
      </c>
      <c r="C169" s="4">
        <f>MONTH(E169)</f>
        <v>2</v>
      </c>
      <c r="D169" s="4">
        <f>YEAR(E169)</f>
        <v>2023</v>
      </c>
      <c r="E169" s="3">
        <v>44981</v>
      </c>
      <c r="F169" s="4" t="s">
        <v>191</v>
      </c>
      <c r="G169" s="4" t="s">
        <v>15</v>
      </c>
      <c r="H169" s="4">
        <v>53</v>
      </c>
      <c r="I169" s="4" t="str" cm="1">
        <f t="array" ref="I169">_xlfn.IFS(
  H169&lt;30,"Young Adult",
  H169&lt;50,"Adult",
  H169&gt;=50,"Senior"
)</f>
        <v>Senior</v>
      </c>
      <c r="J169" s="4" t="s">
        <v>20</v>
      </c>
      <c r="K169" s="4">
        <v>1</v>
      </c>
      <c r="L169" s="5">
        <v>300</v>
      </c>
      <c r="M169" s="5">
        <f xml:space="preserve"> K169*L169</f>
        <v>300</v>
      </c>
      <c r="N169" s="14">
        <f xml:space="preserve"> M169 * $Q$3</f>
        <v>4.5</v>
      </c>
      <c r="O169" s="5"/>
    </row>
    <row r="170" spans="1:15">
      <c r="A170" s="2">
        <v>169</v>
      </c>
      <c r="B170" s="4">
        <f>DAY(E170)</f>
        <v>17</v>
      </c>
      <c r="C170" s="4">
        <f>MONTH(E170)</f>
        <v>11</v>
      </c>
      <c r="D170" s="4">
        <f>YEAR(E170)</f>
        <v>2023</v>
      </c>
      <c r="E170" s="3">
        <v>45247</v>
      </c>
      <c r="F170" s="4" t="s">
        <v>192</v>
      </c>
      <c r="G170" s="4" t="s">
        <v>15</v>
      </c>
      <c r="H170" s="4">
        <v>18</v>
      </c>
      <c r="I170" s="4" t="str" cm="1">
        <f t="array" ref="I170">_xlfn.IFS(
  H170&lt;30,"Young Adult",
  H170&lt;50,"Adult",
  H170&gt;=50,"Senior"
)</f>
        <v>Young Adult</v>
      </c>
      <c r="J170" s="4" t="s">
        <v>16</v>
      </c>
      <c r="K170" s="4">
        <v>3</v>
      </c>
      <c r="L170" s="5">
        <v>500</v>
      </c>
      <c r="M170" s="5">
        <f xml:space="preserve"> K170*L170</f>
        <v>1500</v>
      </c>
      <c r="N170" s="14">
        <f xml:space="preserve"> M170 * $Q$3</f>
        <v>22.5</v>
      </c>
      <c r="O170" s="5"/>
    </row>
    <row r="171" spans="1:15">
      <c r="A171" s="2">
        <v>170</v>
      </c>
      <c r="B171" s="4">
        <f>DAY(E171)</f>
        <v>2</v>
      </c>
      <c r="C171" s="4">
        <f>MONTH(E171)</f>
        <v>6</v>
      </c>
      <c r="D171" s="4">
        <f>YEAR(E171)</f>
        <v>2023</v>
      </c>
      <c r="E171" s="3">
        <v>45079</v>
      </c>
      <c r="F171" s="4" t="s">
        <v>193</v>
      </c>
      <c r="G171" s="4" t="s">
        <v>19</v>
      </c>
      <c r="H171" s="4">
        <v>25</v>
      </c>
      <c r="I171" s="4" t="str" cm="1">
        <f t="array" ref="I171">_xlfn.IFS(
  H171&lt;30,"Young Adult",
  H171&lt;50,"Adult",
  H171&gt;=50,"Senior"
)</f>
        <v>Young Adult</v>
      </c>
      <c r="J171" s="4" t="s">
        <v>20</v>
      </c>
      <c r="K171" s="4">
        <v>2</v>
      </c>
      <c r="L171" s="5">
        <v>25</v>
      </c>
      <c r="M171" s="5">
        <f xml:space="preserve"> K171*L171</f>
        <v>50</v>
      </c>
      <c r="N171" s="14">
        <f xml:space="preserve"> M171 * $Q$3</f>
        <v>0.75</v>
      </c>
      <c r="O171" s="5"/>
    </row>
    <row r="172" spans="1:15">
      <c r="A172" s="2">
        <v>171</v>
      </c>
      <c r="B172" s="4">
        <f>DAY(E172)</f>
        <v>24</v>
      </c>
      <c r="C172" s="4">
        <f>MONTH(E172)</f>
        <v>11</v>
      </c>
      <c r="D172" s="4">
        <f>YEAR(E172)</f>
        <v>2023</v>
      </c>
      <c r="E172" s="3">
        <v>45254</v>
      </c>
      <c r="F172" s="4" t="s">
        <v>194</v>
      </c>
      <c r="G172" s="4" t="s">
        <v>19</v>
      </c>
      <c r="H172" s="4">
        <v>52</v>
      </c>
      <c r="I172" s="4" t="str" cm="1">
        <f t="array" ref="I172">_xlfn.IFS(
  H172&lt;30,"Young Adult",
  H172&lt;50,"Adult",
  H172&gt;=50,"Senior"
)</f>
        <v>Senior</v>
      </c>
      <c r="J172" s="4" t="s">
        <v>20</v>
      </c>
      <c r="K172" s="4">
        <v>3</v>
      </c>
      <c r="L172" s="5">
        <v>300</v>
      </c>
      <c r="M172" s="5">
        <f xml:space="preserve"> K172*L172</f>
        <v>900</v>
      </c>
      <c r="N172" s="14">
        <f xml:space="preserve"> M172 * $Q$3</f>
        <v>13.5</v>
      </c>
      <c r="O172" s="5"/>
    </row>
    <row r="173" spans="1:15">
      <c r="A173" s="2">
        <v>172</v>
      </c>
      <c r="B173" s="4">
        <f>DAY(E173)</f>
        <v>17</v>
      </c>
      <c r="C173" s="4">
        <f>MONTH(E173)</f>
        <v>9</v>
      </c>
      <c r="D173" s="4">
        <f>YEAR(E173)</f>
        <v>2023</v>
      </c>
      <c r="E173" s="3">
        <v>45186</v>
      </c>
      <c r="F173" s="4" t="s">
        <v>195</v>
      </c>
      <c r="G173" s="4" t="s">
        <v>15</v>
      </c>
      <c r="H173" s="4">
        <v>32</v>
      </c>
      <c r="I173" s="4" t="str" cm="1">
        <f t="array" ref="I173">_xlfn.IFS(
  H173&lt;30,"Young Adult",
  H173&lt;50,"Adult",
  H173&gt;=50,"Senior"
)</f>
        <v>Adult</v>
      </c>
      <c r="J173" s="4" t="s">
        <v>16</v>
      </c>
      <c r="K173" s="4">
        <v>2</v>
      </c>
      <c r="L173" s="5">
        <v>25</v>
      </c>
      <c r="M173" s="5">
        <f xml:space="preserve"> K173*L173</f>
        <v>50</v>
      </c>
      <c r="N173" s="14">
        <f xml:space="preserve"> M173 * $Q$3</f>
        <v>0.75</v>
      </c>
      <c r="O173" s="5"/>
    </row>
    <row r="174" spans="1:15">
      <c r="A174" s="2">
        <v>173</v>
      </c>
      <c r="B174" s="4">
        <f>DAY(E174)</f>
        <v>8</v>
      </c>
      <c r="C174" s="4">
        <f>MONTH(E174)</f>
        <v>11</v>
      </c>
      <c r="D174" s="4">
        <f>YEAR(E174)</f>
        <v>2023</v>
      </c>
      <c r="E174" s="3">
        <v>45238</v>
      </c>
      <c r="F174" s="4" t="s">
        <v>196</v>
      </c>
      <c r="G174" s="4" t="s">
        <v>15</v>
      </c>
      <c r="H174" s="4">
        <v>64</v>
      </c>
      <c r="I174" s="4" t="str" cm="1">
        <f t="array" ref="I174">_xlfn.IFS(
  H174&lt;30,"Young Adult",
  H174&lt;50,"Adult",
  H174&gt;=50,"Senior"
)</f>
        <v>Senior</v>
      </c>
      <c r="J174" s="4" t="s">
        <v>23</v>
      </c>
      <c r="K174" s="4">
        <v>4</v>
      </c>
      <c r="L174" s="5">
        <v>30</v>
      </c>
      <c r="M174" s="5">
        <f xml:space="preserve"> K174*L174</f>
        <v>120</v>
      </c>
      <c r="N174" s="14">
        <f xml:space="preserve"> M174 * $Q$3</f>
        <v>1.7999999999999998</v>
      </c>
      <c r="O174" s="5"/>
    </row>
    <row r="175" spans="1:15">
      <c r="A175" s="2">
        <v>174</v>
      </c>
      <c r="B175" s="4">
        <f>DAY(E175)</f>
        <v>12</v>
      </c>
      <c r="C175" s="4">
        <f>MONTH(E175)</f>
        <v>4</v>
      </c>
      <c r="D175" s="4">
        <f>YEAR(E175)</f>
        <v>2023</v>
      </c>
      <c r="E175" s="17">
        <v>45028</v>
      </c>
      <c r="F175" s="4" t="s">
        <v>197</v>
      </c>
      <c r="G175" s="4" t="s">
        <v>19</v>
      </c>
      <c r="H175" s="4">
        <v>39</v>
      </c>
      <c r="I175" s="4" t="str" cm="1">
        <f t="array" ref="I175">_xlfn.IFS(
  H175&lt;30,"Young Adult",
  H175&lt;50,"Adult",
  H175&gt;=50,"Senior"
)</f>
        <v>Adult</v>
      </c>
      <c r="J175" s="4" t="s">
        <v>16</v>
      </c>
      <c r="K175" s="4">
        <v>1</v>
      </c>
      <c r="L175" s="5">
        <v>300</v>
      </c>
      <c r="M175" s="5">
        <f xml:space="preserve"> K175*L175</f>
        <v>300</v>
      </c>
      <c r="N175" s="14">
        <f xml:space="preserve"> M175 * $Q$3</f>
        <v>4.5</v>
      </c>
      <c r="O175" s="5"/>
    </row>
    <row r="176" spans="1:15">
      <c r="A176" s="2">
        <v>175</v>
      </c>
      <c r="B176" s="4">
        <f>DAY(E176)</f>
        <v>20</v>
      </c>
      <c r="C176" s="4">
        <f>MONTH(E176)</f>
        <v>3</v>
      </c>
      <c r="D176" s="4">
        <f>YEAR(E176)</f>
        <v>2023</v>
      </c>
      <c r="E176" s="17">
        <v>45005</v>
      </c>
      <c r="F176" s="4" t="s">
        <v>198</v>
      </c>
      <c r="G176" s="4" t="s">
        <v>19</v>
      </c>
      <c r="H176" s="4">
        <v>31</v>
      </c>
      <c r="I176" s="4" t="str" cm="1">
        <f t="array" ref="I176">_xlfn.IFS(
  H176&lt;30,"Young Adult",
  H176&lt;50,"Adult",
  H176&gt;=50,"Senior"
)</f>
        <v>Adult</v>
      </c>
      <c r="J176" s="4" t="s">
        <v>23</v>
      </c>
      <c r="K176" s="4">
        <v>4</v>
      </c>
      <c r="L176" s="5">
        <v>25</v>
      </c>
      <c r="M176" s="5">
        <f xml:space="preserve"> K176*L176</f>
        <v>100</v>
      </c>
      <c r="N176" s="14">
        <f xml:space="preserve"> M176 * $Q$3</f>
        <v>1.5</v>
      </c>
      <c r="O176" s="5"/>
    </row>
    <row r="177" spans="1:15">
      <c r="A177" s="2">
        <v>176</v>
      </c>
      <c r="B177" s="4">
        <f>DAY(E177)</f>
        <v>11</v>
      </c>
      <c r="C177" s="4">
        <f>MONTH(E177)</f>
        <v>7</v>
      </c>
      <c r="D177" s="4">
        <f>YEAR(E177)</f>
        <v>2023</v>
      </c>
      <c r="E177" s="3">
        <v>45118</v>
      </c>
      <c r="F177" s="4" t="s">
        <v>199</v>
      </c>
      <c r="G177" s="4" t="s">
        <v>19</v>
      </c>
      <c r="H177" s="4">
        <v>43</v>
      </c>
      <c r="I177" s="4" t="str" cm="1">
        <f t="array" ref="I177">_xlfn.IFS(
  H177&lt;30,"Young Adult",
  H177&lt;50,"Adult",
  H177&gt;=50,"Senior"
)</f>
        <v>Adult</v>
      </c>
      <c r="J177" s="4" t="s">
        <v>16</v>
      </c>
      <c r="K177" s="4">
        <v>2</v>
      </c>
      <c r="L177" s="5">
        <v>50</v>
      </c>
      <c r="M177" s="5">
        <f xml:space="preserve"> K177*L177</f>
        <v>100</v>
      </c>
      <c r="N177" s="14">
        <f xml:space="preserve"> M177 * $Q$3</f>
        <v>1.5</v>
      </c>
      <c r="O177" s="5"/>
    </row>
    <row r="178" spans="1:15">
      <c r="A178" s="2">
        <v>177</v>
      </c>
      <c r="B178" s="4">
        <f>DAY(E178)</f>
        <v>24</v>
      </c>
      <c r="C178" s="4">
        <f>MONTH(E178)</f>
        <v>3</v>
      </c>
      <c r="D178" s="4">
        <f>YEAR(E178)</f>
        <v>2023</v>
      </c>
      <c r="E178" s="17">
        <v>45009</v>
      </c>
      <c r="F178" s="4" t="s">
        <v>200</v>
      </c>
      <c r="G178" s="4" t="s">
        <v>15</v>
      </c>
      <c r="H178" s="4">
        <v>45</v>
      </c>
      <c r="I178" s="4" t="str" cm="1">
        <f t="array" ref="I178">_xlfn.IFS(
  H178&lt;30,"Young Adult",
  H178&lt;50,"Adult",
  H178&gt;=50,"Senior"
)</f>
        <v>Adult</v>
      </c>
      <c r="J178" s="4" t="s">
        <v>16</v>
      </c>
      <c r="K178" s="4">
        <v>2</v>
      </c>
      <c r="L178" s="5">
        <v>50</v>
      </c>
      <c r="M178" s="5">
        <f xml:space="preserve"> K178*L178</f>
        <v>100</v>
      </c>
      <c r="N178" s="14">
        <f xml:space="preserve"> M178 * $Q$3</f>
        <v>1.5</v>
      </c>
      <c r="O178" s="5"/>
    </row>
    <row r="179" spans="1:15">
      <c r="A179" s="2">
        <v>178</v>
      </c>
      <c r="B179" s="4">
        <f>DAY(E179)</f>
        <v>4</v>
      </c>
      <c r="C179" s="4">
        <f>MONTH(E179)</f>
        <v>10</v>
      </c>
      <c r="D179" s="4">
        <f>YEAR(E179)</f>
        <v>2023</v>
      </c>
      <c r="E179" s="3">
        <v>45203</v>
      </c>
      <c r="F179" s="4" t="s">
        <v>201</v>
      </c>
      <c r="G179" s="4" t="s">
        <v>15</v>
      </c>
      <c r="H179" s="4">
        <v>40</v>
      </c>
      <c r="I179" s="4" t="str" cm="1">
        <f t="array" ref="I179">_xlfn.IFS(
  H179&lt;30,"Young Adult",
  H179&lt;50,"Adult",
  H179&gt;=50,"Senior"
)</f>
        <v>Adult</v>
      </c>
      <c r="J179" s="4" t="s">
        <v>20</v>
      </c>
      <c r="K179" s="4">
        <v>2</v>
      </c>
      <c r="L179" s="5">
        <v>30</v>
      </c>
      <c r="M179" s="5">
        <f xml:space="preserve"> K179*L179</f>
        <v>60</v>
      </c>
      <c r="N179" s="14">
        <f xml:space="preserve"> M179 * $Q$3</f>
        <v>0.89999999999999991</v>
      </c>
      <c r="O179" s="5"/>
    </row>
    <row r="180" spans="1:15">
      <c r="A180" s="2">
        <v>179</v>
      </c>
      <c r="B180" s="4">
        <f>DAY(E180)</f>
        <v>29</v>
      </c>
      <c r="C180" s="4">
        <f>MONTH(E180)</f>
        <v>9</v>
      </c>
      <c r="D180" s="4">
        <f>YEAR(E180)</f>
        <v>2023</v>
      </c>
      <c r="E180" s="3">
        <v>45198</v>
      </c>
      <c r="F180" s="4" t="s">
        <v>202</v>
      </c>
      <c r="G180" s="4" t="s">
        <v>15</v>
      </c>
      <c r="H180" s="4">
        <v>31</v>
      </c>
      <c r="I180" s="4" t="str" cm="1">
        <f t="array" ref="I180">_xlfn.IFS(
  H180&lt;30,"Young Adult",
  H180&lt;50,"Adult",
  H180&gt;=50,"Senior"
)</f>
        <v>Adult</v>
      </c>
      <c r="J180" s="4" t="s">
        <v>23</v>
      </c>
      <c r="K180" s="4">
        <v>1</v>
      </c>
      <c r="L180" s="5">
        <v>300</v>
      </c>
      <c r="M180" s="5">
        <f xml:space="preserve"> K180*L180</f>
        <v>300</v>
      </c>
      <c r="N180" s="14">
        <f xml:space="preserve"> M180 * $Q$3</f>
        <v>4.5</v>
      </c>
      <c r="O180" s="5"/>
    </row>
    <row r="181" spans="1:15">
      <c r="A181" s="2">
        <v>180</v>
      </c>
      <c r="B181" s="4">
        <f>DAY(E181)</f>
        <v>1</v>
      </c>
      <c r="C181" s="4">
        <f>MONTH(E181)</f>
        <v>1</v>
      </c>
      <c r="D181" s="4">
        <f>YEAR(E181)</f>
        <v>2023</v>
      </c>
      <c r="E181" s="3">
        <v>44927</v>
      </c>
      <c r="F181" s="4" t="s">
        <v>203</v>
      </c>
      <c r="G181" s="4" t="s">
        <v>15</v>
      </c>
      <c r="H181" s="4">
        <v>41</v>
      </c>
      <c r="I181" s="4" t="str" cm="1">
        <f t="array" ref="I181">_xlfn.IFS(
  H181&lt;30,"Young Adult",
  H181&lt;50,"Adult",
  H181&gt;=50,"Senior"
)</f>
        <v>Adult</v>
      </c>
      <c r="J181" s="4" t="s">
        <v>20</v>
      </c>
      <c r="K181" s="4">
        <v>3</v>
      </c>
      <c r="L181" s="5">
        <v>300</v>
      </c>
      <c r="M181" s="5">
        <f xml:space="preserve"> K181*L181</f>
        <v>900</v>
      </c>
      <c r="N181" s="14">
        <f xml:space="preserve"> M181 * $Q$3</f>
        <v>13.5</v>
      </c>
      <c r="O181" s="5"/>
    </row>
    <row r="182" spans="1:15">
      <c r="A182" s="2">
        <v>181</v>
      </c>
      <c r="B182" s="4">
        <f>DAY(E182)</f>
        <v>3</v>
      </c>
      <c r="C182" s="4">
        <f>MONTH(E182)</f>
        <v>11</v>
      </c>
      <c r="D182" s="4">
        <f>YEAR(E182)</f>
        <v>2023</v>
      </c>
      <c r="E182" s="3">
        <v>45233</v>
      </c>
      <c r="F182" s="4" t="s">
        <v>204</v>
      </c>
      <c r="G182" s="4" t="s">
        <v>15</v>
      </c>
      <c r="H182" s="4">
        <v>19</v>
      </c>
      <c r="I182" s="4" t="str" cm="1">
        <f t="array" ref="I182">_xlfn.IFS(
  H182&lt;30,"Young Adult",
  H182&lt;50,"Adult",
  H182&gt;=50,"Senior"
)</f>
        <v>Young Adult</v>
      </c>
      <c r="J182" s="4" t="s">
        <v>23</v>
      </c>
      <c r="K182" s="4">
        <v>4</v>
      </c>
      <c r="L182" s="5">
        <v>300</v>
      </c>
      <c r="M182" s="5">
        <f xml:space="preserve"> K182*L182</f>
        <v>1200</v>
      </c>
      <c r="N182" s="14">
        <f xml:space="preserve"> M182 * $Q$3</f>
        <v>18</v>
      </c>
      <c r="O182" s="5"/>
    </row>
    <row r="183" spans="1:15">
      <c r="A183" s="2">
        <v>182</v>
      </c>
      <c r="B183" s="4">
        <f>DAY(E183)</f>
        <v>15</v>
      </c>
      <c r="C183" s="4">
        <f>MONTH(E183)</f>
        <v>6</v>
      </c>
      <c r="D183" s="4">
        <f>YEAR(E183)</f>
        <v>2023</v>
      </c>
      <c r="E183" s="3">
        <v>45092</v>
      </c>
      <c r="F183" s="4" t="s">
        <v>205</v>
      </c>
      <c r="G183" s="4" t="s">
        <v>15</v>
      </c>
      <c r="H183" s="4">
        <v>62</v>
      </c>
      <c r="I183" s="4" t="str" cm="1">
        <f t="array" ref="I183">_xlfn.IFS(
  H183&lt;30,"Young Adult",
  H183&lt;50,"Adult",
  H183&gt;=50,"Senior"
)</f>
        <v>Senior</v>
      </c>
      <c r="J183" s="4" t="s">
        <v>16</v>
      </c>
      <c r="K183" s="4">
        <v>4</v>
      </c>
      <c r="L183" s="5">
        <v>30</v>
      </c>
      <c r="M183" s="5">
        <f xml:space="preserve"> K183*L183</f>
        <v>120</v>
      </c>
      <c r="N183" s="14">
        <f xml:space="preserve"> M183 * $Q$3</f>
        <v>1.7999999999999998</v>
      </c>
      <c r="O183" s="5"/>
    </row>
    <row r="184" spans="1:15">
      <c r="A184" s="2">
        <v>183</v>
      </c>
      <c r="B184" s="4">
        <f>DAY(E184)</f>
        <v>8</v>
      </c>
      <c r="C184" s="4">
        <f>MONTH(E184)</f>
        <v>9</v>
      </c>
      <c r="D184" s="4">
        <f>YEAR(E184)</f>
        <v>2023</v>
      </c>
      <c r="E184" s="17">
        <v>45177</v>
      </c>
      <c r="F184" s="4" t="s">
        <v>206</v>
      </c>
      <c r="G184" s="4" t="s">
        <v>19</v>
      </c>
      <c r="H184" s="4">
        <v>43</v>
      </c>
      <c r="I184" s="4" t="str" cm="1">
        <f t="array" ref="I184">_xlfn.IFS(
  H184&lt;30,"Young Adult",
  H184&lt;50,"Adult",
  H184&gt;=50,"Senior"
)</f>
        <v>Adult</v>
      </c>
      <c r="J184" s="4" t="s">
        <v>16</v>
      </c>
      <c r="K184" s="4">
        <v>3</v>
      </c>
      <c r="L184" s="5">
        <v>300</v>
      </c>
      <c r="M184" s="5">
        <f xml:space="preserve"> K184*L184</f>
        <v>900</v>
      </c>
      <c r="N184" s="14">
        <f xml:space="preserve"> M184 * $Q$3</f>
        <v>13.5</v>
      </c>
      <c r="O184" s="5"/>
    </row>
    <row r="185" spans="1:15">
      <c r="A185" s="2">
        <v>184</v>
      </c>
      <c r="B185" s="4">
        <f>DAY(E185)</f>
        <v>10</v>
      </c>
      <c r="C185" s="4">
        <f>MONTH(E185)</f>
        <v>1</v>
      </c>
      <c r="D185" s="4">
        <f>YEAR(E185)</f>
        <v>2023</v>
      </c>
      <c r="E185" s="3">
        <v>44936</v>
      </c>
      <c r="F185" s="4" t="s">
        <v>207</v>
      </c>
      <c r="G185" s="4" t="s">
        <v>15</v>
      </c>
      <c r="H185" s="4">
        <v>31</v>
      </c>
      <c r="I185" s="4" t="str" cm="1">
        <f t="array" ref="I185">_xlfn.IFS(
  H185&lt;30,"Young Adult",
  H185&lt;50,"Adult",
  H185&gt;=50,"Senior"
)</f>
        <v>Adult</v>
      </c>
      <c r="J185" s="4" t="s">
        <v>23</v>
      </c>
      <c r="K185" s="4">
        <v>4</v>
      </c>
      <c r="L185" s="5">
        <v>50</v>
      </c>
      <c r="M185" s="5">
        <f xml:space="preserve"> K185*L185</f>
        <v>200</v>
      </c>
      <c r="N185" s="14">
        <f xml:space="preserve"> M185 * $Q$3</f>
        <v>3</v>
      </c>
      <c r="O185" s="5"/>
    </row>
    <row r="186" spans="1:15">
      <c r="A186" s="2">
        <v>185</v>
      </c>
      <c r="B186" s="4">
        <f>DAY(E186)</f>
        <v>27</v>
      </c>
      <c r="C186" s="4">
        <f>MONTH(E186)</f>
        <v>2</v>
      </c>
      <c r="D186" s="4">
        <f>YEAR(E186)</f>
        <v>2023</v>
      </c>
      <c r="E186" s="3">
        <v>44984</v>
      </c>
      <c r="F186" s="4" t="s">
        <v>208</v>
      </c>
      <c r="G186" s="4" t="s">
        <v>15</v>
      </c>
      <c r="H186" s="4">
        <v>24</v>
      </c>
      <c r="I186" s="4" t="str" cm="1">
        <f t="array" ref="I186">_xlfn.IFS(
  H186&lt;30,"Young Adult",
  H186&lt;50,"Adult",
  H186&gt;=50,"Senior"
)</f>
        <v>Young Adult</v>
      </c>
      <c r="J186" s="4" t="s">
        <v>20</v>
      </c>
      <c r="K186" s="4">
        <v>1</v>
      </c>
      <c r="L186" s="5">
        <v>25</v>
      </c>
      <c r="M186" s="5">
        <f xml:space="preserve"> K186*L186</f>
        <v>25</v>
      </c>
      <c r="N186" s="14">
        <f xml:space="preserve"> M186 * $Q$3</f>
        <v>0.375</v>
      </c>
      <c r="O186" s="5"/>
    </row>
    <row r="187" spans="1:15">
      <c r="A187" s="2">
        <v>186</v>
      </c>
      <c r="B187" s="4">
        <f>DAY(E187)</f>
        <v>5</v>
      </c>
      <c r="C187" s="4">
        <f>MONTH(E187)</f>
        <v>7</v>
      </c>
      <c r="D187" s="4">
        <f>YEAR(E187)</f>
        <v>2023</v>
      </c>
      <c r="E187" s="3">
        <v>45112</v>
      </c>
      <c r="F187" s="4" t="s">
        <v>209</v>
      </c>
      <c r="G187" s="4" t="s">
        <v>15</v>
      </c>
      <c r="H187" s="4">
        <v>20</v>
      </c>
      <c r="I187" s="4" t="str" cm="1">
        <f t="array" ref="I187">_xlfn.IFS(
  H187&lt;30,"Young Adult",
  H187&lt;50,"Adult",
  H187&gt;=50,"Senior"
)</f>
        <v>Young Adult</v>
      </c>
      <c r="J187" s="4" t="s">
        <v>20</v>
      </c>
      <c r="K187" s="4">
        <v>4</v>
      </c>
      <c r="L187" s="5">
        <v>50</v>
      </c>
      <c r="M187" s="5">
        <f xml:space="preserve"> K187*L187</f>
        <v>200</v>
      </c>
      <c r="N187" s="14">
        <f xml:space="preserve"> M187 * $Q$3</f>
        <v>3</v>
      </c>
      <c r="O187" s="5"/>
    </row>
    <row r="188" spans="1:15">
      <c r="A188" s="2">
        <v>187</v>
      </c>
      <c r="B188" s="4">
        <f>DAY(E188)</f>
        <v>7</v>
      </c>
      <c r="C188" s="4">
        <f>MONTH(E188)</f>
        <v>6</v>
      </c>
      <c r="D188" s="4">
        <f>YEAR(E188)</f>
        <v>2023</v>
      </c>
      <c r="E188" s="3">
        <v>45084</v>
      </c>
      <c r="F188" s="4" t="s">
        <v>210</v>
      </c>
      <c r="G188" s="4" t="s">
        <v>19</v>
      </c>
      <c r="H188" s="4">
        <v>64</v>
      </c>
      <c r="I188" s="4" t="str" cm="1">
        <f t="array" ref="I188">_xlfn.IFS(
  H188&lt;30,"Young Adult",
  H188&lt;50,"Adult",
  H188&gt;=50,"Senior"
)</f>
        <v>Senior</v>
      </c>
      <c r="J188" s="4" t="s">
        <v>20</v>
      </c>
      <c r="K188" s="4">
        <v>2</v>
      </c>
      <c r="L188" s="5">
        <v>50</v>
      </c>
      <c r="M188" s="5">
        <f xml:space="preserve"> K188*L188</f>
        <v>100</v>
      </c>
      <c r="N188" s="14">
        <f xml:space="preserve"> M188 * $Q$3</f>
        <v>1.5</v>
      </c>
      <c r="O188" s="5"/>
    </row>
    <row r="189" spans="1:15">
      <c r="A189" s="2">
        <v>188</v>
      </c>
      <c r="B189" s="4">
        <f>DAY(E189)</f>
        <v>3</v>
      </c>
      <c r="C189" s="4">
        <f>MONTH(E189)</f>
        <v>5</v>
      </c>
      <c r="D189" s="4">
        <f>YEAR(E189)</f>
        <v>2023</v>
      </c>
      <c r="E189" s="17">
        <v>45049</v>
      </c>
      <c r="F189" s="4" t="s">
        <v>211</v>
      </c>
      <c r="G189" s="4" t="s">
        <v>15</v>
      </c>
      <c r="H189" s="4">
        <v>40</v>
      </c>
      <c r="I189" s="4" t="str" cm="1">
        <f t="array" ref="I189">_xlfn.IFS(
  H189&lt;30,"Young Adult",
  H189&lt;50,"Adult",
  H189&gt;=50,"Senior"
)</f>
        <v>Adult</v>
      </c>
      <c r="J189" s="4" t="s">
        <v>20</v>
      </c>
      <c r="K189" s="4">
        <v>3</v>
      </c>
      <c r="L189" s="5">
        <v>25</v>
      </c>
      <c r="M189" s="5">
        <f xml:space="preserve"> K189*L189</f>
        <v>75</v>
      </c>
      <c r="N189" s="14">
        <f xml:space="preserve"> M189 * $Q$3</f>
        <v>1.125</v>
      </c>
      <c r="O189" s="5"/>
    </row>
    <row r="190" spans="1:15">
      <c r="A190" s="2">
        <v>189</v>
      </c>
      <c r="B190" s="4">
        <f>DAY(E190)</f>
        <v>30</v>
      </c>
      <c r="C190" s="4">
        <f>MONTH(E190)</f>
        <v>1</v>
      </c>
      <c r="D190" s="4">
        <f>YEAR(E190)</f>
        <v>2023</v>
      </c>
      <c r="E190" s="3">
        <v>44956</v>
      </c>
      <c r="F190" s="4" t="s">
        <v>212</v>
      </c>
      <c r="G190" s="4" t="s">
        <v>15</v>
      </c>
      <c r="H190" s="4">
        <v>63</v>
      </c>
      <c r="I190" s="4" t="str" cm="1">
        <f t="array" ref="I190">_xlfn.IFS(
  H190&lt;30,"Young Adult",
  H190&lt;50,"Adult",
  H190&gt;=50,"Senior"
)</f>
        <v>Senior</v>
      </c>
      <c r="J190" s="4" t="s">
        <v>16</v>
      </c>
      <c r="K190" s="4">
        <v>1</v>
      </c>
      <c r="L190" s="5">
        <v>50</v>
      </c>
      <c r="M190" s="5">
        <f xml:space="preserve"> K190*L190</f>
        <v>50</v>
      </c>
      <c r="N190" s="14">
        <f xml:space="preserve"> M190 * $Q$3</f>
        <v>0.75</v>
      </c>
      <c r="O190" s="5"/>
    </row>
    <row r="191" spans="1:15">
      <c r="A191" s="2">
        <v>190</v>
      </c>
      <c r="B191" s="4">
        <f>DAY(E191)</f>
        <v>4</v>
      </c>
      <c r="C191" s="4">
        <f>MONTH(E191)</f>
        <v>5</v>
      </c>
      <c r="D191" s="4">
        <f>YEAR(E191)</f>
        <v>2023</v>
      </c>
      <c r="E191" s="17">
        <v>45050</v>
      </c>
      <c r="F191" s="4" t="s">
        <v>213</v>
      </c>
      <c r="G191" s="4" t="s">
        <v>19</v>
      </c>
      <c r="H191" s="4">
        <v>60</v>
      </c>
      <c r="I191" s="4" t="str" cm="1">
        <f t="array" ref="I191">_xlfn.IFS(
  H191&lt;30,"Young Adult",
  H191&lt;50,"Adult",
  H191&gt;=50,"Senior"
)</f>
        <v>Senior</v>
      </c>
      <c r="J191" s="4" t="s">
        <v>16</v>
      </c>
      <c r="K191" s="4">
        <v>3</v>
      </c>
      <c r="L191" s="5">
        <v>30</v>
      </c>
      <c r="M191" s="5">
        <f xml:space="preserve"> K191*L191</f>
        <v>90</v>
      </c>
      <c r="N191" s="14">
        <f xml:space="preserve"> M191 * $Q$3</f>
        <v>1.3499999999999999</v>
      </c>
      <c r="O191" s="5"/>
    </row>
    <row r="192" spans="1:15">
      <c r="A192" s="2">
        <v>191</v>
      </c>
      <c r="B192" s="4">
        <f>DAY(E192)</f>
        <v>18</v>
      </c>
      <c r="C192" s="4">
        <f>MONTH(E192)</f>
        <v>10</v>
      </c>
      <c r="D192" s="4">
        <f>YEAR(E192)</f>
        <v>2023</v>
      </c>
      <c r="E192" s="3">
        <v>45217</v>
      </c>
      <c r="F192" s="4" t="s">
        <v>214</v>
      </c>
      <c r="G192" s="4" t="s">
        <v>15</v>
      </c>
      <c r="H192" s="4">
        <v>64</v>
      </c>
      <c r="I192" s="4" t="str" cm="1">
        <f t="array" ref="I192">_xlfn.IFS(
  H192&lt;30,"Young Adult",
  H192&lt;50,"Adult",
  H192&gt;=50,"Senior"
)</f>
        <v>Senior</v>
      </c>
      <c r="J192" s="4" t="s">
        <v>16</v>
      </c>
      <c r="K192" s="4">
        <v>1</v>
      </c>
      <c r="L192" s="5">
        <v>25</v>
      </c>
      <c r="M192" s="5">
        <f xml:space="preserve"> K192*L192</f>
        <v>25</v>
      </c>
      <c r="N192" s="14">
        <f xml:space="preserve"> M192 * $Q$3</f>
        <v>0.375</v>
      </c>
      <c r="O192" s="5"/>
    </row>
    <row r="193" spans="1:15">
      <c r="A193" s="2">
        <v>192</v>
      </c>
      <c r="B193" s="4">
        <f>DAY(E193)</f>
        <v>10</v>
      </c>
      <c r="C193" s="4">
        <f>MONTH(E193)</f>
        <v>2</v>
      </c>
      <c r="D193" s="4">
        <f>YEAR(E193)</f>
        <v>2023</v>
      </c>
      <c r="E193" s="3">
        <v>44967</v>
      </c>
      <c r="F193" s="4" t="s">
        <v>215</v>
      </c>
      <c r="G193" s="4" t="s">
        <v>15</v>
      </c>
      <c r="H193" s="4">
        <v>62</v>
      </c>
      <c r="I193" s="4" t="str" cm="1">
        <f t="array" ref="I193">_xlfn.IFS(
  H193&lt;30,"Young Adult",
  H193&lt;50,"Adult",
  H193&gt;=50,"Senior"
)</f>
        <v>Senior</v>
      </c>
      <c r="J193" s="4" t="s">
        <v>16</v>
      </c>
      <c r="K193" s="4">
        <v>2</v>
      </c>
      <c r="L193" s="5">
        <v>50</v>
      </c>
      <c r="M193" s="5">
        <f xml:space="preserve"> K193*L193</f>
        <v>100</v>
      </c>
      <c r="N193" s="14">
        <f xml:space="preserve"> M193 * $Q$3</f>
        <v>1.5</v>
      </c>
      <c r="O193" s="5"/>
    </row>
    <row r="194" spans="1:15">
      <c r="A194" s="2">
        <v>193</v>
      </c>
      <c r="B194" s="4">
        <f>DAY(E194)</f>
        <v>13</v>
      </c>
      <c r="C194" s="4">
        <f>MONTH(E194)</f>
        <v>2</v>
      </c>
      <c r="D194" s="4">
        <f>YEAR(E194)</f>
        <v>2023</v>
      </c>
      <c r="E194" s="3">
        <v>44970</v>
      </c>
      <c r="F194" s="4" t="s">
        <v>216</v>
      </c>
      <c r="G194" s="4" t="s">
        <v>15</v>
      </c>
      <c r="H194" s="4">
        <v>35</v>
      </c>
      <c r="I194" s="4" t="str" cm="1">
        <f t="array" ref="I194">_xlfn.IFS(
  H194&lt;30,"Young Adult",
  H194&lt;50,"Adult",
  H194&gt;=50,"Senior"
)</f>
        <v>Adult</v>
      </c>
      <c r="J194" s="4" t="s">
        <v>16</v>
      </c>
      <c r="K194" s="4">
        <v>3</v>
      </c>
      <c r="L194" s="5">
        <v>500</v>
      </c>
      <c r="M194" s="5">
        <f xml:space="preserve"> K194*L194</f>
        <v>1500</v>
      </c>
      <c r="N194" s="14">
        <f xml:space="preserve"> M194 * $Q$3</f>
        <v>22.5</v>
      </c>
      <c r="O194" s="5"/>
    </row>
    <row r="195" spans="1:15">
      <c r="A195" s="2">
        <v>194</v>
      </c>
      <c r="B195" s="4">
        <f>DAY(E195)</f>
        <v>6</v>
      </c>
      <c r="C195" s="4">
        <f>MONTH(E195)</f>
        <v>9</v>
      </c>
      <c r="D195" s="4">
        <f>YEAR(E195)</f>
        <v>2023</v>
      </c>
      <c r="E195" s="3">
        <v>45175</v>
      </c>
      <c r="F195" s="4" t="s">
        <v>217</v>
      </c>
      <c r="G195" s="4" t="s">
        <v>15</v>
      </c>
      <c r="H195" s="4">
        <v>55</v>
      </c>
      <c r="I195" s="4" t="str" cm="1">
        <f t="array" ref="I195">_xlfn.IFS(
  H195&lt;30,"Young Adult",
  H195&lt;50,"Adult",
  H195&gt;=50,"Senior"
)</f>
        <v>Senior</v>
      </c>
      <c r="J195" s="4" t="s">
        <v>20</v>
      </c>
      <c r="K195" s="4">
        <v>4</v>
      </c>
      <c r="L195" s="5">
        <v>50</v>
      </c>
      <c r="M195" s="5">
        <f xml:space="preserve"> K195*L195</f>
        <v>200</v>
      </c>
      <c r="N195" s="14">
        <f xml:space="preserve"> M195 * $Q$3</f>
        <v>3</v>
      </c>
      <c r="O195" s="5"/>
    </row>
    <row r="196" spans="1:15">
      <c r="A196" s="2">
        <v>195</v>
      </c>
      <c r="B196" s="4">
        <f>DAY(E196)</f>
        <v>5</v>
      </c>
      <c r="C196" s="4">
        <f>MONTH(E196)</f>
        <v>2</v>
      </c>
      <c r="D196" s="4">
        <f>YEAR(E196)</f>
        <v>2023</v>
      </c>
      <c r="E196" s="3">
        <v>44962</v>
      </c>
      <c r="F196" s="4" t="s">
        <v>218</v>
      </c>
      <c r="G196" s="4" t="s">
        <v>15</v>
      </c>
      <c r="H196" s="4">
        <v>52</v>
      </c>
      <c r="I196" s="4" t="str" cm="1">
        <f t="array" ref="I196">_xlfn.IFS(
  H196&lt;30,"Young Adult",
  H196&lt;50,"Adult",
  H196&gt;=50,"Senior"
)</f>
        <v>Senior</v>
      </c>
      <c r="J196" s="4" t="s">
        <v>20</v>
      </c>
      <c r="K196" s="4">
        <v>1</v>
      </c>
      <c r="L196" s="5">
        <v>30</v>
      </c>
      <c r="M196" s="5">
        <f xml:space="preserve"> K196*L196</f>
        <v>30</v>
      </c>
      <c r="N196" s="14">
        <f xml:space="preserve"> M196 * $Q$3</f>
        <v>0.44999999999999996</v>
      </c>
      <c r="O196" s="5"/>
    </row>
    <row r="197" spans="1:15">
      <c r="A197" s="2">
        <v>196</v>
      </c>
      <c r="B197" s="4">
        <f>DAY(E197)</f>
        <v>30</v>
      </c>
      <c r="C197" s="4">
        <f>MONTH(E197)</f>
        <v>9</v>
      </c>
      <c r="D197" s="4">
        <f>YEAR(E197)</f>
        <v>2023</v>
      </c>
      <c r="E197" s="3">
        <v>45199</v>
      </c>
      <c r="F197" s="4" t="s">
        <v>219</v>
      </c>
      <c r="G197" s="4" t="s">
        <v>19</v>
      </c>
      <c r="H197" s="4">
        <v>32</v>
      </c>
      <c r="I197" s="4" t="str" cm="1">
        <f t="array" ref="I197">_xlfn.IFS(
  H197&lt;30,"Young Adult",
  H197&lt;50,"Adult",
  H197&gt;=50,"Senior"
)</f>
        <v>Adult</v>
      </c>
      <c r="J197" s="4" t="s">
        <v>20</v>
      </c>
      <c r="K197" s="4">
        <v>3</v>
      </c>
      <c r="L197" s="5">
        <v>300</v>
      </c>
      <c r="M197" s="5">
        <f xml:space="preserve"> K197*L197</f>
        <v>900</v>
      </c>
      <c r="N197" s="14">
        <f xml:space="preserve"> M197 * $Q$3</f>
        <v>13.5</v>
      </c>
      <c r="O197" s="5"/>
    </row>
    <row r="198" spans="1:15">
      <c r="A198" s="2">
        <v>197</v>
      </c>
      <c r="B198" s="4">
        <f>DAY(E198)</f>
        <v>6</v>
      </c>
      <c r="C198" s="4">
        <f>MONTH(E198)</f>
        <v>3</v>
      </c>
      <c r="D198" s="4">
        <f>YEAR(E198)</f>
        <v>2023</v>
      </c>
      <c r="E198" s="17">
        <v>44991</v>
      </c>
      <c r="F198" s="4" t="s">
        <v>220</v>
      </c>
      <c r="G198" s="4" t="s">
        <v>19</v>
      </c>
      <c r="H198" s="4">
        <v>42</v>
      </c>
      <c r="I198" s="4" t="str" cm="1">
        <f t="array" ref="I198">_xlfn.IFS(
  H198&lt;30,"Young Adult",
  H198&lt;50,"Adult",
  H198&gt;=50,"Senior"
)</f>
        <v>Adult</v>
      </c>
      <c r="J198" s="4" t="s">
        <v>20</v>
      </c>
      <c r="K198" s="4">
        <v>4</v>
      </c>
      <c r="L198" s="5">
        <v>50</v>
      </c>
      <c r="M198" s="5">
        <f xml:space="preserve"> K198*L198</f>
        <v>200</v>
      </c>
      <c r="N198" s="14">
        <f xml:space="preserve"> M198 * $Q$3</f>
        <v>3</v>
      </c>
      <c r="O198" s="5"/>
    </row>
    <row r="199" spans="1:15">
      <c r="A199" s="2">
        <v>198</v>
      </c>
      <c r="B199" s="4">
        <f>DAY(E199)</f>
        <v>7</v>
      </c>
      <c r="C199" s="4">
        <f>MONTH(E199)</f>
        <v>3</v>
      </c>
      <c r="D199" s="4">
        <f>YEAR(E199)</f>
        <v>2023</v>
      </c>
      <c r="E199" s="17">
        <v>44992</v>
      </c>
      <c r="F199" s="4" t="s">
        <v>221</v>
      </c>
      <c r="G199" s="4" t="s">
        <v>19</v>
      </c>
      <c r="H199" s="4">
        <v>54</v>
      </c>
      <c r="I199" s="4" t="str" cm="1">
        <f t="array" ref="I199">_xlfn.IFS(
  H199&lt;30,"Young Adult",
  H199&lt;50,"Adult",
  H199&gt;=50,"Senior"
)</f>
        <v>Senior</v>
      </c>
      <c r="J199" s="4" t="s">
        <v>16</v>
      </c>
      <c r="K199" s="4">
        <v>3</v>
      </c>
      <c r="L199" s="5">
        <v>300</v>
      </c>
      <c r="M199" s="5">
        <f xml:space="preserve"> K199*L199</f>
        <v>900</v>
      </c>
      <c r="N199" s="14">
        <f xml:space="preserve"> M199 * $Q$3</f>
        <v>13.5</v>
      </c>
      <c r="O199" s="5"/>
    </row>
    <row r="200" spans="1:15">
      <c r="A200" s="2">
        <v>199</v>
      </c>
      <c r="B200" s="4">
        <f>DAY(E200)</f>
        <v>4</v>
      </c>
      <c r="C200" s="4">
        <f>MONTH(E200)</f>
        <v>12</v>
      </c>
      <c r="D200" s="4">
        <f>YEAR(E200)</f>
        <v>2023</v>
      </c>
      <c r="E200" s="3">
        <v>45264</v>
      </c>
      <c r="F200" s="4" t="s">
        <v>222</v>
      </c>
      <c r="G200" s="4" t="s">
        <v>15</v>
      </c>
      <c r="H200" s="4">
        <v>45</v>
      </c>
      <c r="I200" s="4" t="str" cm="1">
        <f t="array" ref="I200">_xlfn.IFS(
  H200&lt;30,"Young Adult",
  H200&lt;50,"Adult",
  H200&gt;=50,"Senior"
)</f>
        <v>Adult</v>
      </c>
      <c r="J200" s="4" t="s">
        <v>16</v>
      </c>
      <c r="K200" s="4">
        <v>3</v>
      </c>
      <c r="L200" s="5">
        <v>500</v>
      </c>
      <c r="M200" s="5">
        <f xml:space="preserve"> K200*L200</f>
        <v>1500</v>
      </c>
      <c r="N200" s="14">
        <f xml:space="preserve"> M200 * $Q$3</f>
        <v>22.5</v>
      </c>
      <c r="O200" s="5"/>
    </row>
    <row r="201" spans="1:15">
      <c r="A201" s="2">
        <v>200</v>
      </c>
      <c r="B201" s="4">
        <f>DAY(E201)</f>
        <v>1</v>
      </c>
      <c r="C201" s="4">
        <f>MONTH(E201)</f>
        <v>9</v>
      </c>
      <c r="D201" s="4">
        <f>YEAR(E201)</f>
        <v>2023</v>
      </c>
      <c r="E201" s="3">
        <v>45170</v>
      </c>
      <c r="F201" s="4" t="s">
        <v>223</v>
      </c>
      <c r="G201" s="4" t="s">
        <v>15</v>
      </c>
      <c r="H201" s="4">
        <v>27</v>
      </c>
      <c r="I201" s="4" t="str" cm="1">
        <f t="array" ref="I201">_xlfn.IFS(
  H201&lt;30,"Young Adult",
  H201&lt;50,"Adult",
  H201&gt;=50,"Senior"
)</f>
        <v>Young Adult</v>
      </c>
      <c r="J201" s="4" t="s">
        <v>16</v>
      </c>
      <c r="K201" s="4">
        <v>3</v>
      </c>
      <c r="L201" s="5">
        <v>50</v>
      </c>
      <c r="M201" s="5">
        <f xml:space="preserve"> K201*L201</f>
        <v>150</v>
      </c>
      <c r="N201" s="14">
        <f xml:space="preserve"> M201 * $Q$3</f>
        <v>2.25</v>
      </c>
      <c r="O201" s="5"/>
    </row>
    <row r="202" spans="1:15">
      <c r="A202" s="2">
        <v>201</v>
      </c>
      <c r="B202" s="4">
        <f>DAY(E202)</f>
        <v>9</v>
      </c>
      <c r="C202" s="4">
        <f>MONTH(E202)</f>
        <v>10</v>
      </c>
      <c r="D202" s="4">
        <f>YEAR(E202)</f>
        <v>2023</v>
      </c>
      <c r="E202" s="3">
        <v>45208</v>
      </c>
      <c r="F202" s="4" t="s">
        <v>224</v>
      </c>
      <c r="G202" s="4" t="s">
        <v>15</v>
      </c>
      <c r="H202" s="4">
        <v>56</v>
      </c>
      <c r="I202" s="4" t="str" cm="1">
        <f t="array" ref="I202">_xlfn.IFS(
  H202&lt;30,"Young Adult",
  H202&lt;50,"Adult",
  H202&gt;=50,"Senior"
)</f>
        <v>Senior</v>
      </c>
      <c r="J202" s="4" t="s">
        <v>23</v>
      </c>
      <c r="K202" s="4">
        <v>1</v>
      </c>
      <c r="L202" s="5">
        <v>25</v>
      </c>
      <c r="M202" s="5">
        <f xml:space="preserve"> K202*L202</f>
        <v>25</v>
      </c>
      <c r="N202" s="14">
        <f xml:space="preserve"> M202 * $Q$3</f>
        <v>0.375</v>
      </c>
      <c r="O202" s="5"/>
    </row>
    <row r="203" spans="1:15">
      <c r="A203" s="2">
        <v>202</v>
      </c>
      <c r="B203" s="4">
        <f>DAY(E203)</f>
        <v>26</v>
      </c>
      <c r="C203" s="4">
        <f>MONTH(E203)</f>
        <v>3</v>
      </c>
      <c r="D203" s="4">
        <f>YEAR(E203)</f>
        <v>2023</v>
      </c>
      <c r="E203" s="17">
        <v>45011</v>
      </c>
      <c r="F203" s="4" t="s">
        <v>225</v>
      </c>
      <c r="G203" s="4" t="s">
        <v>19</v>
      </c>
      <c r="H203" s="4">
        <v>34</v>
      </c>
      <c r="I203" s="4" t="str" cm="1">
        <f t="array" ref="I203">_xlfn.IFS(
  H203&lt;30,"Young Adult",
  H203&lt;50,"Adult",
  H203&gt;=50,"Senior"
)</f>
        <v>Adult</v>
      </c>
      <c r="J203" s="4" t="s">
        <v>20</v>
      </c>
      <c r="K203" s="4">
        <v>4</v>
      </c>
      <c r="L203" s="5">
        <v>300</v>
      </c>
      <c r="M203" s="5">
        <f xml:space="preserve"> K203*L203</f>
        <v>1200</v>
      </c>
      <c r="N203" s="14">
        <f xml:space="preserve"> M203 * $Q$3</f>
        <v>18</v>
      </c>
      <c r="O203" s="5"/>
    </row>
    <row r="204" spans="1:15">
      <c r="A204" s="2">
        <v>203</v>
      </c>
      <c r="B204" s="4">
        <f>DAY(E204)</f>
        <v>16</v>
      </c>
      <c r="C204" s="4">
        <f>MONTH(E204)</f>
        <v>5</v>
      </c>
      <c r="D204" s="4">
        <f>YEAR(E204)</f>
        <v>2023</v>
      </c>
      <c r="E204" s="17">
        <v>45062</v>
      </c>
      <c r="F204" s="4" t="s">
        <v>226</v>
      </c>
      <c r="G204" s="4" t="s">
        <v>15</v>
      </c>
      <c r="H204" s="4">
        <v>56</v>
      </c>
      <c r="I204" s="4" t="str" cm="1">
        <f t="array" ref="I204">_xlfn.IFS(
  H204&lt;30,"Young Adult",
  H204&lt;50,"Adult",
  H204&gt;=50,"Senior"
)</f>
        <v>Senior</v>
      </c>
      <c r="J204" s="4" t="s">
        <v>20</v>
      </c>
      <c r="K204" s="4">
        <v>2</v>
      </c>
      <c r="L204" s="5">
        <v>500</v>
      </c>
      <c r="M204" s="5">
        <f xml:space="preserve"> K204*L204</f>
        <v>1000</v>
      </c>
      <c r="N204" s="14">
        <f xml:space="preserve"> M204 * $Q$3</f>
        <v>15</v>
      </c>
      <c r="O204" s="5"/>
    </row>
    <row r="205" spans="1:15">
      <c r="A205" s="2">
        <v>204</v>
      </c>
      <c r="B205" s="4">
        <f>DAY(E205)</f>
        <v>28</v>
      </c>
      <c r="C205" s="4">
        <f>MONTH(E205)</f>
        <v>9</v>
      </c>
      <c r="D205" s="4">
        <f>YEAR(E205)</f>
        <v>2023</v>
      </c>
      <c r="E205" s="3">
        <v>45197</v>
      </c>
      <c r="F205" s="4" t="s">
        <v>227</v>
      </c>
      <c r="G205" s="4" t="s">
        <v>15</v>
      </c>
      <c r="H205" s="4">
        <v>39</v>
      </c>
      <c r="I205" s="4" t="str" cm="1">
        <f t="array" ref="I205">_xlfn.IFS(
  H205&lt;30,"Young Adult",
  H205&lt;50,"Adult",
  H205&gt;=50,"Senior"
)</f>
        <v>Adult</v>
      </c>
      <c r="J205" s="4" t="s">
        <v>16</v>
      </c>
      <c r="K205" s="4">
        <v>1</v>
      </c>
      <c r="L205" s="5">
        <v>25</v>
      </c>
      <c r="M205" s="5">
        <f xml:space="preserve"> K205*L205</f>
        <v>25</v>
      </c>
      <c r="N205" s="14">
        <f xml:space="preserve"> M205 * $Q$3</f>
        <v>0.375</v>
      </c>
      <c r="O205" s="5"/>
    </row>
    <row r="206" spans="1:15">
      <c r="A206" s="2">
        <v>205</v>
      </c>
      <c r="B206" s="4">
        <f>DAY(E206)</f>
        <v>7</v>
      </c>
      <c r="C206" s="4">
        <f>MONTH(E206)</f>
        <v>11</v>
      </c>
      <c r="D206" s="4">
        <f>YEAR(E206)</f>
        <v>2023</v>
      </c>
      <c r="E206" s="3">
        <v>45237</v>
      </c>
      <c r="F206" s="4" t="s">
        <v>228</v>
      </c>
      <c r="G206" s="4" t="s">
        <v>19</v>
      </c>
      <c r="H206" s="4">
        <v>43</v>
      </c>
      <c r="I206" s="4" t="str" cm="1">
        <f t="array" ref="I206">_xlfn.IFS(
  H206&lt;30,"Young Adult",
  H206&lt;50,"Adult",
  H206&gt;=50,"Senior"
)</f>
        <v>Adult</v>
      </c>
      <c r="J206" s="4" t="s">
        <v>20</v>
      </c>
      <c r="K206" s="4">
        <v>1</v>
      </c>
      <c r="L206" s="5">
        <v>25</v>
      </c>
      <c r="M206" s="5">
        <f xml:space="preserve"> K206*L206</f>
        <v>25</v>
      </c>
      <c r="N206" s="14">
        <f xml:space="preserve"> M206 * $Q$3</f>
        <v>0.375</v>
      </c>
      <c r="O206" s="5"/>
    </row>
    <row r="207" spans="1:15">
      <c r="A207" s="2">
        <v>206</v>
      </c>
      <c r="B207" s="4">
        <f>DAY(E207)</f>
        <v>5</v>
      </c>
      <c r="C207" s="4">
        <f>MONTH(E207)</f>
        <v>8</v>
      </c>
      <c r="D207" s="4">
        <f>YEAR(E207)</f>
        <v>2023</v>
      </c>
      <c r="E207" s="3">
        <v>45143</v>
      </c>
      <c r="F207" s="4" t="s">
        <v>229</v>
      </c>
      <c r="G207" s="4" t="s">
        <v>15</v>
      </c>
      <c r="H207" s="4">
        <v>61</v>
      </c>
      <c r="I207" s="4" t="str" cm="1">
        <f t="array" ref="I207">_xlfn.IFS(
  H207&lt;30,"Young Adult",
  H207&lt;50,"Adult",
  H207&gt;=50,"Senior"
)</f>
        <v>Senior</v>
      </c>
      <c r="J207" s="4" t="s">
        <v>20</v>
      </c>
      <c r="K207" s="4">
        <v>1</v>
      </c>
      <c r="L207" s="5">
        <v>25</v>
      </c>
      <c r="M207" s="5">
        <f xml:space="preserve"> K207*L207</f>
        <v>25</v>
      </c>
      <c r="N207" s="14">
        <f xml:space="preserve"> M207 * $Q$3</f>
        <v>0.375</v>
      </c>
      <c r="O207" s="5"/>
    </row>
    <row r="208" spans="1:15">
      <c r="A208" s="2">
        <v>207</v>
      </c>
      <c r="B208" s="4">
        <f>DAY(E208)</f>
        <v>19</v>
      </c>
      <c r="C208" s="4">
        <f>MONTH(E208)</f>
        <v>4</v>
      </c>
      <c r="D208" s="4">
        <f>YEAR(E208)</f>
        <v>2023</v>
      </c>
      <c r="E208" s="17">
        <v>45035</v>
      </c>
      <c r="F208" s="4" t="s">
        <v>230</v>
      </c>
      <c r="G208" s="4" t="s">
        <v>19</v>
      </c>
      <c r="H208" s="4">
        <v>42</v>
      </c>
      <c r="I208" s="4" t="str" cm="1">
        <f t="array" ref="I208">_xlfn.IFS(
  H208&lt;30,"Young Adult",
  H208&lt;50,"Adult",
  H208&gt;=50,"Senior"
)</f>
        <v>Adult</v>
      </c>
      <c r="J208" s="4" t="s">
        <v>16</v>
      </c>
      <c r="K208" s="4">
        <v>2</v>
      </c>
      <c r="L208" s="5">
        <v>25</v>
      </c>
      <c r="M208" s="5">
        <f xml:space="preserve"> K208*L208</f>
        <v>50</v>
      </c>
      <c r="N208" s="14">
        <f xml:space="preserve"> M208 * $Q$3</f>
        <v>0.75</v>
      </c>
      <c r="O208" s="5"/>
    </row>
    <row r="209" spans="1:15">
      <c r="A209" s="2">
        <v>208</v>
      </c>
      <c r="B209" s="4">
        <f>DAY(E209)</f>
        <v>4</v>
      </c>
      <c r="C209" s="4">
        <f>MONTH(E209)</f>
        <v>10</v>
      </c>
      <c r="D209" s="4">
        <f>YEAR(E209)</f>
        <v>2023</v>
      </c>
      <c r="E209" s="3">
        <v>45203</v>
      </c>
      <c r="F209" s="4" t="s">
        <v>231</v>
      </c>
      <c r="G209" s="4" t="s">
        <v>19</v>
      </c>
      <c r="H209" s="4">
        <v>34</v>
      </c>
      <c r="I209" s="4" t="str" cm="1">
        <f t="array" ref="I209">_xlfn.IFS(
  H209&lt;30,"Young Adult",
  H209&lt;50,"Adult",
  H209&gt;=50,"Senior"
)</f>
        <v>Adult</v>
      </c>
      <c r="J209" s="4" t="s">
        <v>23</v>
      </c>
      <c r="K209" s="4">
        <v>4</v>
      </c>
      <c r="L209" s="5">
        <v>50</v>
      </c>
      <c r="M209" s="5">
        <f xml:space="preserve"> K209*L209</f>
        <v>200</v>
      </c>
      <c r="N209" s="14">
        <f xml:space="preserve"> M209 * $Q$3</f>
        <v>3</v>
      </c>
      <c r="O209" s="5"/>
    </row>
    <row r="210" spans="1:15">
      <c r="A210" s="2">
        <v>209</v>
      </c>
      <c r="B210" s="4">
        <f>DAY(E210)</f>
        <v>20</v>
      </c>
      <c r="C210" s="4">
        <f>MONTH(E210)</f>
        <v>12</v>
      </c>
      <c r="D210" s="4">
        <f>YEAR(E210)</f>
        <v>2023</v>
      </c>
      <c r="E210" s="3">
        <v>45280</v>
      </c>
      <c r="F210" s="4" t="s">
        <v>232</v>
      </c>
      <c r="G210" s="4" t="s">
        <v>19</v>
      </c>
      <c r="H210" s="4">
        <v>30</v>
      </c>
      <c r="I210" s="4" t="str" cm="1">
        <f t="array" ref="I210">_xlfn.IFS(
  H210&lt;30,"Young Adult",
  H210&lt;50,"Adult",
  H210&gt;=50,"Senior"
)</f>
        <v>Adult</v>
      </c>
      <c r="J210" s="4" t="s">
        <v>23</v>
      </c>
      <c r="K210" s="4">
        <v>4</v>
      </c>
      <c r="L210" s="5">
        <v>50</v>
      </c>
      <c r="M210" s="5">
        <f xml:space="preserve"> K210*L210</f>
        <v>200</v>
      </c>
      <c r="N210" s="14">
        <f xml:space="preserve"> M210 * $Q$3</f>
        <v>3</v>
      </c>
      <c r="O210" s="5"/>
    </row>
    <row r="211" spans="1:15">
      <c r="A211" s="2">
        <v>210</v>
      </c>
      <c r="B211" s="4">
        <f>DAY(E211)</f>
        <v>13</v>
      </c>
      <c r="C211" s="4">
        <f>MONTH(E211)</f>
        <v>4</v>
      </c>
      <c r="D211" s="4">
        <f>YEAR(E211)</f>
        <v>2023</v>
      </c>
      <c r="E211" s="17">
        <v>45029</v>
      </c>
      <c r="F211" s="4" t="s">
        <v>233</v>
      </c>
      <c r="G211" s="4" t="s">
        <v>15</v>
      </c>
      <c r="H211" s="4">
        <v>37</v>
      </c>
      <c r="I211" s="4" t="str" cm="1">
        <f t="array" ref="I211">_xlfn.IFS(
  H211&lt;30,"Young Adult",
  H211&lt;50,"Adult",
  H211&gt;=50,"Senior"
)</f>
        <v>Adult</v>
      </c>
      <c r="J211" s="4" t="s">
        <v>23</v>
      </c>
      <c r="K211" s="4">
        <v>4</v>
      </c>
      <c r="L211" s="5">
        <v>50</v>
      </c>
      <c r="M211" s="5">
        <f xml:space="preserve"> K211*L211</f>
        <v>200</v>
      </c>
      <c r="N211" s="14">
        <f xml:space="preserve"> M211 * $Q$3</f>
        <v>3</v>
      </c>
      <c r="O211" s="5"/>
    </row>
    <row r="212" spans="1:15">
      <c r="A212" s="2">
        <v>211</v>
      </c>
      <c r="B212" s="4">
        <f>DAY(E212)</f>
        <v>1</v>
      </c>
      <c r="C212" s="4">
        <f>MONTH(E212)</f>
        <v>1</v>
      </c>
      <c r="D212" s="4">
        <f>YEAR(E212)</f>
        <v>2024</v>
      </c>
      <c r="E212" s="3">
        <v>45292</v>
      </c>
      <c r="F212" s="4" t="s">
        <v>234</v>
      </c>
      <c r="G212" s="4" t="s">
        <v>15</v>
      </c>
      <c r="H212" s="4">
        <v>42</v>
      </c>
      <c r="I212" s="4" t="str" cm="1">
        <f t="array" ref="I212">_xlfn.IFS(
  H212&lt;30,"Young Adult",
  H212&lt;50,"Adult",
  H212&gt;=50,"Senior"
)</f>
        <v>Adult</v>
      </c>
      <c r="J212" s="4" t="s">
        <v>16</v>
      </c>
      <c r="K212" s="4">
        <v>3</v>
      </c>
      <c r="L212" s="5">
        <v>500</v>
      </c>
      <c r="M212" s="5">
        <f xml:space="preserve"> K212*L212</f>
        <v>1500</v>
      </c>
      <c r="N212" s="14">
        <f xml:space="preserve"> M212 * $Q$3</f>
        <v>22.5</v>
      </c>
      <c r="O212" s="5"/>
    </row>
    <row r="213" spans="1:15">
      <c r="A213" s="2">
        <v>212</v>
      </c>
      <c r="B213" s="4">
        <f>DAY(E213)</f>
        <v>9</v>
      </c>
      <c r="C213" s="4">
        <f>MONTH(E213)</f>
        <v>6</v>
      </c>
      <c r="D213" s="4">
        <f>YEAR(E213)</f>
        <v>2023</v>
      </c>
      <c r="E213" s="3">
        <v>45086</v>
      </c>
      <c r="F213" s="4" t="s">
        <v>235</v>
      </c>
      <c r="G213" s="4" t="s">
        <v>15</v>
      </c>
      <c r="H213" s="4">
        <v>21</v>
      </c>
      <c r="I213" s="4" t="str" cm="1">
        <f t="array" ref="I213">_xlfn.IFS(
  H213&lt;30,"Young Adult",
  H213&lt;50,"Adult",
  H213&gt;=50,"Senior"
)</f>
        <v>Young Adult</v>
      </c>
      <c r="J213" s="4" t="s">
        <v>20</v>
      </c>
      <c r="K213" s="4">
        <v>3</v>
      </c>
      <c r="L213" s="5">
        <v>500</v>
      </c>
      <c r="M213" s="5">
        <f xml:space="preserve"> K213*L213</f>
        <v>1500</v>
      </c>
      <c r="N213" s="14">
        <f xml:space="preserve"> M213 * $Q$3</f>
        <v>22.5</v>
      </c>
      <c r="O213" s="5"/>
    </row>
    <row r="214" spans="1:15">
      <c r="A214" s="2">
        <v>213</v>
      </c>
      <c r="B214" s="4">
        <f>DAY(E214)</f>
        <v>24</v>
      </c>
      <c r="C214" s="4">
        <f>MONTH(E214)</f>
        <v>7</v>
      </c>
      <c r="D214" s="4">
        <f>YEAR(E214)</f>
        <v>2023</v>
      </c>
      <c r="E214" s="3">
        <v>45131</v>
      </c>
      <c r="F214" s="4" t="s">
        <v>236</v>
      </c>
      <c r="G214" s="4" t="s">
        <v>15</v>
      </c>
      <c r="H214" s="4">
        <v>27</v>
      </c>
      <c r="I214" s="4" t="str" cm="1">
        <f t="array" ref="I214">_xlfn.IFS(
  H214&lt;30,"Young Adult",
  H214&lt;50,"Adult",
  H214&gt;=50,"Senior"
)</f>
        <v>Young Adult</v>
      </c>
      <c r="J214" s="4" t="s">
        <v>16</v>
      </c>
      <c r="K214" s="4">
        <v>3</v>
      </c>
      <c r="L214" s="5">
        <v>500</v>
      </c>
      <c r="M214" s="5">
        <f xml:space="preserve"> K214*L214</f>
        <v>1500</v>
      </c>
      <c r="N214" s="14">
        <f xml:space="preserve"> M214 * $Q$3</f>
        <v>22.5</v>
      </c>
      <c r="O214" s="5"/>
    </row>
    <row r="215" spans="1:15">
      <c r="A215" s="2">
        <v>214</v>
      </c>
      <c r="B215" s="4">
        <f>DAY(E215)</f>
        <v>10</v>
      </c>
      <c r="C215" s="4">
        <f>MONTH(E215)</f>
        <v>12</v>
      </c>
      <c r="D215" s="4">
        <f>YEAR(E215)</f>
        <v>2023</v>
      </c>
      <c r="E215" s="3">
        <v>45270</v>
      </c>
      <c r="F215" s="4" t="s">
        <v>237</v>
      </c>
      <c r="G215" s="4" t="s">
        <v>15</v>
      </c>
      <c r="H215" s="4">
        <v>20</v>
      </c>
      <c r="I215" s="4" t="str" cm="1">
        <f t="array" ref="I215">_xlfn.IFS(
  H215&lt;30,"Young Adult",
  H215&lt;50,"Adult",
  H215&gt;=50,"Senior"
)</f>
        <v>Young Adult</v>
      </c>
      <c r="J215" s="4" t="s">
        <v>16</v>
      </c>
      <c r="K215" s="4">
        <v>2</v>
      </c>
      <c r="L215" s="5">
        <v>30</v>
      </c>
      <c r="M215" s="5">
        <f xml:space="preserve"> K215*L215</f>
        <v>60</v>
      </c>
      <c r="N215" s="14">
        <f xml:space="preserve"> M215 * $Q$3</f>
        <v>0.89999999999999991</v>
      </c>
      <c r="O215" s="5"/>
    </row>
    <row r="216" spans="1:15">
      <c r="A216" s="2">
        <v>215</v>
      </c>
      <c r="B216" s="4">
        <f>DAY(E216)</f>
        <v>29</v>
      </c>
      <c r="C216" s="4">
        <f>MONTH(E216)</f>
        <v>11</v>
      </c>
      <c r="D216" s="4">
        <f>YEAR(E216)</f>
        <v>2023</v>
      </c>
      <c r="E216" s="3">
        <v>45259</v>
      </c>
      <c r="F216" s="4" t="s">
        <v>238</v>
      </c>
      <c r="G216" s="4" t="s">
        <v>15</v>
      </c>
      <c r="H216" s="4">
        <v>58</v>
      </c>
      <c r="I216" s="4" t="str" cm="1">
        <f t="array" ref="I216">_xlfn.IFS(
  H216&lt;30,"Young Adult",
  H216&lt;50,"Adult",
  H216&gt;=50,"Senior"
)</f>
        <v>Senior</v>
      </c>
      <c r="J216" s="4" t="s">
        <v>20</v>
      </c>
      <c r="K216" s="4">
        <v>3</v>
      </c>
      <c r="L216" s="5">
        <v>500</v>
      </c>
      <c r="M216" s="5">
        <f xml:space="preserve"> K216*L216</f>
        <v>1500</v>
      </c>
      <c r="N216" s="14">
        <f xml:space="preserve"> M216 * $Q$3</f>
        <v>22.5</v>
      </c>
      <c r="O216" s="5"/>
    </row>
    <row r="217" spans="1:15">
      <c r="A217" s="2">
        <v>216</v>
      </c>
      <c r="B217" s="4">
        <f>DAY(E217)</f>
        <v>11</v>
      </c>
      <c r="C217" s="4">
        <f>MONTH(E217)</f>
        <v>7</v>
      </c>
      <c r="D217" s="4">
        <f>YEAR(E217)</f>
        <v>2023</v>
      </c>
      <c r="E217" s="3">
        <v>45118</v>
      </c>
      <c r="F217" s="4" t="s">
        <v>239</v>
      </c>
      <c r="G217" s="4" t="s">
        <v>15</v>
      </c>
      <c r="H217" s="4">
        <v>62</v>
      </c>
      <c r="I217" s="4" t="str" cm="1">
        <f t="array" ref="I217">_xlfn.IFS(
  H217&lt;30,"Young Adult",
  H217&lt;50,"Adult",
  H217&gt;=50,"Senior"
)</f>
        <v>Senior</v>
      </c>
      <c r="J217" s="4" t="s">
        <v>23</v>
      </c>
      <c r="K217" s="4">
        <v>2</v>
      </c>
      <c r="L217" s="5">
        <v>50</v>
      </c>
      <c r="M217" s="5">
        <f xml:space="preserve"> K217*L217</f>
        <v>100</v>
      </c>
      <c r="N217" s="14">
        <f xml:space="preserve"> M217 * $Q$3</f>
        <v>1.5</v>
      </c>
      <c r="O217" s="5"/>
    </row>
    <row r="218" spans="1:15">
      <c r="A218" s="2">
        <v>217</v>
      </c>
      <c r="B218" s="4">
        <f>DAY(E218)</f>
        <v>13</v>
      </c>
      <c r="C218" s="4">
        <f>MONTH(E218)</f>
        <v>8</v>
      </c>
      <c r="D218" s="4">
        <f>YEAR(E218)</f>
        <v>2023</v>
      </c>
      <c r="E218" s="3">
        <v>45151</v>
      </c>
      <c r="F218" s="4" t="s">
        <v>240</v>
      </c>
      <c r="G218" s="4" t="s">
        <v>19</v>
      </c>
      <c r="H218" s="4">
        <v>35</v>
      </c>
      <c r="I218" s="4" t="str" cm="1">
        <f t="array" ref="I218">_xlfn.IFS(
  H218&lt;30,"Young Adult",
  H218&lt;50,"Adult",
  H218&gt;=50,"Senior"
)</f>
        <v>Adult</v>
      </c>
      <c r="J218" s="4" t="s">
        <v>23</v>
      </c>
      <c r="K218" s="4">
        <v>4</v>
      </c>
      <c r="L218" s="5">
        <v>50</v>
      </c>
      <c r="M218" s="5">
        <f xml:space="preserve"> K218*L218</f>
        <v>200</v>
      </c>
      <c r="N218" s="14">
        <f xml:space="preserve"> M218 * $Q$3</f>
        <v>3</v>
      </c>
      <c r="O218" s="5"/>
    </row>
    <row r="219" spans="1:15">
      <c r="A219" s="2">
        <v>218</v>
      </c>
      <c r="B219" s="4">
        <f>DAY(E219)</f>
        <v>22</v>
      </c>
      <c r="C219" s="4">
        <f>MONTH(E219)</f>
        <v>9</v>
      </c>
      <c r="D219" s="4">
        <f>YEAR(E219)</f>
        <v>2023</v>
      </c>
      <c r="E219" s="3">
        <v>45191</v>
      </c>
      <c r="F219" s="4" t="s">
        <v>241</v>
      </c>
      <c r="G219" s="4" t="s">
        <v>15</v>
      </c>
      <c r="H219" s="4">
        <v>64</v>
      </c>
      <c r="I219" s="4" t="str" cm="1">
        <f t="array" ref="I219">_xlfn.IFS(
  H219&lt;30,"Young Adult",
  H219&lt;50,"Adult",
  H219&gt;=50,"Senior"
)</f>
        <v>Senior</v>
      </c>
      <c r="J219" s="4" t="s">
        <v>16</v>
      </c>
      <c r="K219" s="4">
        <v>3</v>
      </c>
      <c r="L219" s="5">
        <v>30</v>
      </c>
      <c r="M219" s="5">
        <f xml:space="preserve"> K219*L219</f>
        <v>90</v>
      </c>
      <c r="N219" s="14">
        <f xml:space="preserve"> M219 * $Q$3</f>
        <v>1.3499999999999999</v>
      </c>
      <c r="O219" s="5"/>
    </row>
    <row r="220" spans="1:15">
      <c r="A220" s="2">
        <v>219</v>
      </c>
      <c r="B220" s="4">
        <f>DAY(E220)</f>
        <v>20</v>
      </c>
      <c r="C220" s="4">
        <f>MONTH(E220)</f>
        <v>8</v>
      </c>
      <c r="D220" s="4">
        <f>YEAR(E220)</f>
        <v>2023</v>
      </c>
      <c r="E220" s="3">
        <v>45158</v>
      </c>
      <c r="F220" s="4" t="s">
        <v>242</v>
      </c>
      <c r="G220" s="4" t="s">
        <v>19</v>
      </c>
      <c r="H220" s="4">
        <v>53</v>
      </c>
      <c r="I220" s="4" t="str" cm="1">
        <f t="array" ref="I220">_xlfn.IFS(
  H220&lt;30,"Young Adult",
  H220&lt;50,"Adult",
  H220&gt;=50,"Senior"
)</f>
        <v>Senior</v>
      </c>
      <c r="J220" s="4" t="s">
        <v>23</v>
      </c>
      <c r="K220" s="4">
        <v>3</v>
      </c>
      <c r="L220" s="5">
        <v>30</v>
      </c>
      <c r="M220" s="5">
        <f xml:space="preserve"> K220*L220</f>
        <v>90</v>
      </c>
      <c r="N220" s="14">
        <f xml:space="preserve"> M220 * $Q$3</f>
        <v>1.3499999999999999</v>
      </c>
      <c r="O220" s="5"/>
    </row>
    <row r="221" spans="1:15">
      <c r="A221" s="2">
        <v>220</v>
      </c>
      <c r="B221" s="4">
        <f>DAY(E221)</f>
        <v>3</v>
      </c>
      <c r="C221" s="4">
        <f>MONTH(E221)</f>
        <v>3</v>
      </c>
      <c r="D221" s="4">
        <f>YEAR(E221)</f>
        <v>2023</v>
      </c>
      <c r="E221" s="17">
        <v>44988</v>
      </c>
      <c r="F221" s="4" t="s">
        <v>243</v>
      </c>
      <c r="G221" s="4" t="s">
        <v>15</v>
      </c>
      <c r="H221" s="4">
        <v>64</v>
      </c>
      <c r="I221" s="4" t="str" cm="1">
        <f t="array" ref="I221">_xlfn.IFS(
  H221&lt;30,"Young Adult",
  H221&lt;50,"Adult",
  H221&gt;=50,"Senior"
)</f>
        <v>Senior</v>
      </c>
      <c r="J221" s="4" t="s">
        <v>16</v>
      </c>
      <c r="K221" s="4">
        <v>1</v>
      </c>
      <c r="L221" s="5">
        <v>500</v>
      </c>
      <c r="M221" s="5">
        <f xml:space="preserve"> K221*L221</f>
        <v>500</v>
      </c>
      <c r="N221" s="14">
        <f xml:space="preserve"> M221 * $Q$3</f>
        <v>7.5</v>
      </c>
      <c r="O221" s="5"/>
    </row>
    <row r="222" spans="1:15">
      <c r="A222" s="2">
        <v>221</v>
      </c>
      <c r="B222" s="4">
        <f>DAY(E222)</f>
        <v>7</v>
      </c>
      <c r="C222" s="4">
        <f>MONTH(E222)</f>
        <v>5</v>
      </c>
      <c r="D222" s="4">
        <f>YEAR(E222)</f>
        <v>2023</v>
      </c>
      <c r="E222" s="17">
        <v>45053</v>
      </c>
      <c r="F222" s="4" t="s">
        <v>244</v>
      </c>
      <c r="G222" s="4" t="s">
        <v>15</v>
      </c>
      <c r="H222" s="4">
        <v>39</v>
      </c>
      <c r="I222" s="4" t="str" cm="1">
        <f t="array" ref="I222">_xlfn.IFS(
  H222&lt;30,"Young Adult",
  H222&lt;50,"Adult",
  H222&gt;=50,"Senior"
)</f>
        <v>Adult</v>
      </c>
      <c r="J222" s="4" t="s">
        <v>16</v>
      </c>
      <c r="K222" s="4">
        <v>2</v>
      </c>
      <c r="L222" s="5">
        <v>300</v>
      </c>
      <c r="M222" s="5">
        <f xml:space="preserve"> K222*L222</f>
        <v>600</v>
      </c>
      <c r="N222" s="14">
        <f xml:space="preserve"> M222 * $Q$3</f>
        <v>9</v>
      </c>
      <c r="O222" s="5"/>
    </row>
    <row r="223" spans="1:15">
      <c r="A223" s="2">
        <v>222</v>
      </c>
      <c r="B223" s="4">
        <f>DAY(E223)</f>
        <v>26</v>
      </c>
      <c r="C223" s="4">
        <f>MONTH(E223)</f>
        <v>4</v>
      </c>
      <c r="D223" s="4">
        <f>YEAR(E223)</f>
        <v>2023</v>
      </c>
      <c r="E223" s="17">
        <v>45042</v>
      </c>
      <c r="F223" s="4" t="s">
        <v>245</v>
      </c>
      <c r="G223" s="4" t="s">
        <v>15</v>
      </c>
      <c r="H223" s="4">
        <v>51</v>
      </c>
      <c r="I223" s="4" t="str" cm="1">
        <f t="array" ref="I223">_xlfn.IFS(
  H223&lt;30,"Young Adult",
  H223&lt;50,"Adult",
  H223&gt;=50,"Senior"
)</f>
        <v>Senior</v>
      </c>
      <c r="J223" s="4" t="s">
        <v>20</v>
      </c>
      <c r="K223" s="4">
        <v>4</v>
      </c>
      <c r="L223" s="5">
        <v>30</v>
      </c>
      <c r="M223" s="5">
        <f xml:space="preserve"> K223*L223</f>
        <v>120</v>
      </c>
      <c r="N223" s="14">
        <f xml:space="preserve"> M223 * $Q$3</f>
        <v>1.7999999999999998</v>
      </c>
      <c r="O223" s="5"/>
    </row>
    <row r="224" spans="1:15">
      <c r="A224" s="2">
        <v>223</v>
      </c>
      <c r="B224" s="4">
        <f>DAY(E224)</f>
        <v>2</v>
      </c>
      <c r="C224" s="4">
        <f>MONTH(E224)</f>
        <v>2</v>
      </c>
      <c r="D224" s="4">
        <f>YEAR(E224)</f>
        <v>2023</v>
      </c>
      <c r="E224" s="3">
        <v>44959</v>
      </c>
      <c r="F224" s="4" t="s">
        <v>246</v>
      </c>
      <c r="G224" s="4" t="s">
        <v>19</v>
      </c>
      <c r="H224" s="4">
        <v>64</v>
      </c>
      <c r="I224" s="4" t="str" cm="1">
        <f t="array" ref="I224">_xlfn.IFS(
  H224&lt;30,"Young Adult",
  H224&lt;50,"Adult",
  H224&gt;=50,"Senior"
)</f>
        <v>Senior</v>
      </c>
      <c r="J224" s="4" t="s">
        <v>20</v>
      </c>
      <c r="K224" s="4">
        <v>1</v>
      </c>
      <c r="L224" s="5">
        <v>25</v>
      </c>
      <c r="M224" s="5">
        <f xml:space="preserve"> K224*L224</f>
        <v>25</v>
      </c>
      <c r="N224" s="14">
        <f xml:space="preserve"> M224 * $Q$3</f>
        <v>0.375</v>
      </c>
      <c r="O224" s="5"/>
    </row>
    <row r="225" spans="1:15">
      <c r="A225" s="2">
        <v>224</v>
      </c>
      <c r="B225" s="4">
        <f>DAY(E225)</f>
        <v>23</v>
      </c>
      <c r="C225" s="4">
        <f>MONTH(E225)</f>
        <v>6</v>
      </c>
      <c r="D225" s="4">
        <f>YEAR(E225)</f>
        <v>2023</v>
      </c>
      <c r="E225" s="3">
        <v>45100</v>
      </c>
      <c r="F225" s="4" t="s">
        <v>247</v>
      </c>
      <c r="G225" s="4" t="s">
        <v>19</v>
      </c>
      <c r="H225" s="4">
        <v>25</v>
      </c>
      <c r="I225" s="4" t="str" cm="1">
        <f t="array" ref="I225">_xlfn.IFS(
  H225&lt;30,"Young Adult",
  H225&lt;50,"Adult",
  H225&gt;=50,"Senior"
)</f>
        <v>Young Adult</v>
      </c>
      <c r="J225" s="4" t="s">
        <v>20</v>
      </c>
      <c r="K225" s="4">
        <v>1</v>
      </c>
      <c r="L225" s="5">
        <v>50</v>
      </c>
      <c r="M225" s="5">
        <f xml:space="preserve"> K225*L225</f>
        <v>50</v>
      </c>
      <c r="N225" s="14">
        <f xml:space="preserve"> M225 * $Q$3</f>
        <v>0.75</v>
      </c>
      <c r="O225" s="5"/>
    </row>
    <row r="226" spans="1:15">
      <c r="A226" s="2">
        <v>225</v>
      </c>
      <c r="B226" s="4">
        <f>DAY(E226)</f>
        <v>11</v>
      </c>
      <c r="C226" s="4">
        <f>MONTH(E226)</f>
        <v>1</v>
      </c>
      <c r="D226" s="4">
        <f>YEAR(E226)</f>
        <v>2023</v>
      </c>
      <c r="E226" s="3">
        <v>44937</v>
      </c>
      <c r="F226" s="4" t="s">
        <v>248</v>
      </c>
      <c r="G226" s="4" t="s">
        <v>19</v>
      </c>
      <c r="H226" s="4">
        <v>57</v>
      </c>
      <c r="I226" s="4" t="str" cm="1">
        <f t="array" ref="I226">_xlfn.IFS(
  H226&lt;30,"Young Adult",
  H226&lt;50,"Adult",
  H226&gt;=50,"Senior"
)</f>
        <v>Senior</v>
      </c>
      <c r="J226" s="4" t="s">
        <v>16</v>
      </c>
      <c r="K226" s="4">
        <v>4</v>
      </c>
      <c r="L226" s="5">
        <v>25</v>
      </c>
      <c r="M226" s="5">
        <f xml:space="preserve"> K226*L226</f>
        <v>100</v>
      </c>
      <c r="N226" s="14">
        <f xml:space="preserve"> M226 * $Q$3</f>
        <v>1.5</v>
      </c>
      <c r="O226" s="5"/>
    </row>
    <row r="227" spans="1:15">
      <c r="A227" s="2">
        <v>226</v>
      </c>
      <c r="B227" s="4">
        <f>DAY(E227)</f>
        <v>29</v>
      </c>
      <c r="C227" s="4">
        <f>MONTH(E227)</f>
        <v>10</v>
      </c>
      <c r="D227" s="4">
        <f>YEAR(E227)</f>
        <v>2023</v>
      </c>
      <c r="E227" s="3">
        <v>45228</v>
      </c>
      <c r="F227" s="4" t="s">
        <v>249</v>
      </c>
      <c r="G227" s="4" t="s">
        <v>19</v>
      </c>
      <c r="H227" s="4">
        <v>61</v>
      </c>
      <c r="I227" s="4" t="str" cm="1">
        <f t="array" ref="I227">_xlfn.IFS(
  H227&lt;30,"Young Adult",
  H227&lt;50,"Adult",
  H227&gt;=50,"Senior"
)</f>
        <v>Senior</v>
      </c>
      <c r="J227" s="4" t="s">
        <v>20</v>
      </c>
      <c r="K227" s="4">
        <v>1</v>
      </c>
      <c r="L227" s="5">
        <v>50</v>
      </c>
      <c r="M227" s="5">
        <f xml:space="preserve"> K227*L227</f>
        <v>50</v>
      </c>
      <c r="N227" s="14">
        <f xml:space="preserve"> M227 * $Q$3</f>
        <v>0.75</v>
      </c>
      <c r="O227" s="5"/>
    </row>
    <row r="228" spans="1:15">
      <c r="A228" s="2">
        <v>227</v>
      </c>
      <c r="B228" s="4">
        <f>DAY(E228)</f>
        <v>11</v>
      </c>
      <c r="C228" s="4">
        <f>MONTH(E228)</f>
        <v>10</v>
      </c>
      <c r="D228" s="4">
        <f>YEAR(E228)</f>
        <v>2023</v>
      </c>
      <c r="E228" s="3">
        <v>45210</v>
      </c>
      <c r="F228" s="4" t="s">
        <v>250</v>
      </c>
      <c r="G228" s="4" t="s">
        <v>15</v>
      </c>
      <c r="H228" s="4">
        <v>36</v>
      </c>
      <c r="I228" s="4" t="str" cm="1">
        <f t="array" ref="I228">_xlfn.IFS(
  H228&lt;30,"Young Adult",
  H228&lt;50,"Adult",
  H228&gt;=50,"Senior"
)</f>
        <v>Adult</v>
      </c>
      <c r="J228" s="4" t="s">
        <v>23</v>
      </c>
      <c r="K228" s="4">
        <v>2</v>
      </c>
      <c r="L228" s="5">
        <v>50</v>
      </c>
      <c r="M228" s="5">
        <f xml:space="preserve"> K228*L228</f>
        <v>100</v>
      </c>
      <c r="N228" s="14">
        <f xml:space="preserve"> M228 * $Q$3</f>
        <v>1.5</v>
      </c>
      <c r="O228" s="5"/>
    </row>
    <row r="229" spans="1:15">
      <c r="A229" s="2">
        <v>228</v>
      </c>
      <c r="B229" s="4">
        <f>DAY(E229)</f>
        <v>28</v>
      </c>
      <c r="C229" s="4">
        <f>MONTH(E229)</f>
        <v>4</v>
      </c>
      <c r="D229" s="4">
        <f>YEAR(E229)</f>
        <v>2023</v>
      </c>
      <c r="E229" s="17">
        <v>45044</v>
      </c>
      <c r="F229" s="4" t="s">
        <v>251</v>
      </c>
      <c r="G229" s="4" t="s">
        <v>19</v>
      </c>
      <c r="H229" s="4">
        <v>59</v>
      </c>
      <c r="I229" s="4" t="str" cm="1">
        <f t="array" ref="I229">_xlfn.IFS(
  H229&lt;30,"Young Adult",
  H229&lt;50,"Adult",
  H229&gt;=50,"Senior"
)</f>
        <v>Senior</v>
      </c>
      <c r="J229" s="4" t="s">
        <v>23</v>
      </c>
      <c r="K229" s="4">
        <v>2</v>
      </c>
      <c r="L229" s="5">
        <v>30</v>
      </c>
      <c r="M229" s="5">
        <f xml:space="preserve"> K229*L229</f>
        <v>60</v>
      </c>
      <c r="N229" s="14">
        <f xml:space="preserve"> M229 * $Q$3</f>
        <v>0.89999999999999991</v>
      </c>
      <c r="O229" s="5"/>
    </row>
    <row r="230" spans="1:15">
      <c r="A230" s="2">
        <v>229</v>
      </c>
      <c r="B230" s="4">
        <f>DAY(E230)</f>
        <v>29</v>
      </c>
      <c r="C230" s="4">
        <f>MONTH(E230)</f>
        <v>10</v>
      </c>
      <c r="D230" s="4">
        <f>YEAR(E230)</f>
        <v>2023</v>
      </c>
      <c r="E230" s="3">
        <v>45228</v>
      </c>
      <c r="F230" s="4" t="s">
        <v>252</v>
      </c>
      <c r="G230" s="4" t="s">
        <v>15</v>
      </c>
      <c r="H230" s="4">
        <v>58</v>
      </c>
      <c r="I230" s="4" t="str" cm="1">
        <f t="array" ref="I230">_xlfn.IFS(
  H230&lt;30,"Young Adult",
  H230&lt;50,"Adult",
  H230&gt;=50,"Senior"
)</f>
        <v>Senior</v>
      </c>
      <c r="J230" s="4" t="s">
        <v>16</v>
      </c>
      <c r="K230" s="4">
        <v>3</v>
      </c>
      <c r="L230" s="5">
        <v>30</v>
      </c>
      <c r="M230" s="5">
        <f xml:space="preserve"> K230*L230</f>
        <v>90</v>
      </c>
      <c r="N230" s="14">
        <f xml:space="preserve"> M230 * $Q$3</f>
        <v>1.3499999999999999</v>
      </c>
      <c r="O230" s="5"/>
    </row>
    <row r="231" spans="1:15">
      <c r="A231" s="2">
        <v>230</v>
      </c>
      <c r="B231" s="4">
        <f>DAY(E231)</f>
        <v>23</v>
      </c>
      <c r="C231" s="4">
        <f>MONTH(E231)</f>
        <v>4</v>
      </c>
      <c r="D231" s="4">
        <f>YEAR(E231)</f>
        <v>2023</v>
      </c>
      <c r="E231" s="17">
        <v>45039</v>
      </c>
      <c r="F231" s="4" t="s">
        <v>253</v>
      </c>
      <c r="G231" s="4" t="s">
        <v>15</v>
      </c>
      <c r="H231" s="4">
        <v>54</v>
      </c>
      <c r="I231" s="4" t="str" cm="1">
        <f t="array" ref="I231">_xlfn.IFS(
  H231&lt;30,"Young Adult",
  H231&lt;50,"Adult",
  H231&gt;=50,"Senior"
)</f>
        <v>Senior</v>
      </c>
      <c r="J231" s="4" t="s">
        <v>16</v>
      </c>
      <c r="K231" s="4">
        <v>1</v>
      </c>
      <c r="L231" s="5">
        <v>25</v>
      </c>
      <c r="M231" s="5">
        <f xml:space="preserve"> K231*L231</f>
        <v>25</v>
      </c>
      <c r="N231" s="14">
        <f xml:space="preserve"> M231 * $Q$3</f>
        <v>0.375</v>
      </c>
      <c r="O231" s="5"/>
    </row>
    <row r="232" spans="1:15">
      <c r="A232" s="2">
        <v>231</v>
      </c>
      <c r="B232" s="4">
        <f>DAY(E232)</f>
        <v>4</v>
      </c>
      <c r="C232" s="4">
        <f>MONTH(E232)</f>
        <v>1</v>
      </c>
      <c r="D232" s="4">
        <f>YEAR(E232)</f>
        <v>2023</v>
      </c>
      <c r="E232" s="3">
        <v>44930</v>
      </c>
      <c r="F232" s="4" t="s">
        <v>254</v>
      </c>
      <c r="G232" s="4" t="s">
        <v>19</v>
      </c>
      <c r="H232" s="4">
        <v>23</v>
      </c>
      <c r="I232" s="4" t="str" cm="1">
        <f t="array" ref="I232">_xlfn.IFS(
  H232&lt;30,"Young Adult",
  H232&lt;50,"Adult",
  H232&gt;=50,"Senior"
)</f>
        <v>Young Adult</v>
      </c>
      <c r="J232" s="4" t="s">
        <v>20</v>
      </c>
      <c r="K232" s="4">
        <v>3</v>
      </c>
      <c r="L232" s="5">
        <v>50</v>
      </c>
      <c r="M232" s="5">
        <f xml:space="preserve"> K232*L232</f>
        <v>150</v>
      </c>
      <c r="N232" s="14">
        <f xml:space="preserve"> M232 * $Q$3</f>
        <v>2.25</v>
      </c>
      <c r="O232" s="5"/>
    </row>
    <row r="233" spans="1:15">
      <c r="A233" s="2">
        <v>232</v>
      </c>
      <c r="B233" s="4">
        <f>DAY(E233)</f>
        <v>6</v>
      </c>
      <c r="C233" s="4">
        <f>MONTH(E233)</f>
        <v>2</v>
      </c>
      <c r="D233" s="4">
        <f>YEAR(E233)</f>
        <v>2023</v>
      </c>
      <c r="E233" s="3">
        <v>44963</v>
      </c>
      <c r="F233" s="4" t="s">
        <v>255</v>
      </c>
      <c r="G233" s="4" t="s">
        <v>19</v>
      </c>
      <c r="H233" s="4">
        <v>43</v>
      </c>
      <c r="I233" s="4" t="str" cm="1">
        <f t="array" ref="I233">_xlfn.IFS(
  H233&lt;30,"Young Adult",
  H233&lt;50,"Adult",
  H233&gt;=50,"Senior"
)</f>
        <v>Adult</v>
      </c>
      <c r="J233" s="4" t="s">
        <v>16</v>
      </c>
      <c r="K233" s="4">
        <v>1</v>
      </c>
      <c r="L233" s="5">
        <v>25</v>
      </c>
      <c r="M233" s="5">
        <f xml:space="preserve"> K233*L233</f>
        <v>25</v>
      </c>
      <c r="N233" s="14">
        <f xml:space="preserve"> M233 * $Q$3</f>
        <v>0.375</v>
      </c>
      <c r="O233" s="5"/>
    </row>
    <row r="234" spans="1:15">
      <c r="A234" s="2">
        <v>233</v>
      </c>
      <c r="B234" s="4">
        <f>DAY(E234)</f>
        <v>29</v>
      </c>
      <c r="C234" s="4">
        <f>MONTH(E234)</f>
        <v>12</v>
      </c>
      <c r="D234" s="4">
        <f>YEAR(E234)</f>
        <v>2023</v>
      </c>
      <c r="E234" s="3">
        <v>45289</v>
      </c>
      <c r="F234" s="4" t="s">
        <v>256</v>
      </c>
      <c r="G234" s="4" t="s">
        <v>19</v>
      </c>
      <c r="H234" s="4">
        <v>51</v>
      </c>
      <c r="I234" s="4" t="str" cm="1">
        <f t="array" ref="I234">_xlfn.IFS(
  H234&lt;30,"Young Adult",
  H234&lt;50,"Adult",
  H234&gt;=50,"Senior"
)</f>
        <v>Senior</v>
      </c>
      <c r="J234" s="4" t="s">
        <v>16</v>
      </c>
      <c r="K234" s="4">
        <v>2</v>
      </c>
      <c r="L234" s="5">
        <v>300</v>
      </c>
      <c r="M234" s="5">
        <f xml:space="preserve"> K234*L234</f>
        <v>600</v>
      </c>
      <c r="N234" s="14">
        <f xml:space="preserve"> M234 * $Q$3</f>
        <v>9</v>
      </c>
      <c r="O234" s="5"/>
    </row>
    <row r="235" spans="1:15">
      <c r="A235" s="2">
        <v>234</v>
      </c>
      <c r="B235" s="4">
        <f>DAY(E235)</f>
        <v>20</v>
      </c>
      <c r="C235" s="4">
        <f>MONTH(E235)</f>
        <v>11</v>
      </c>
      <c r="D235" s="4">
        <f>YEAR(E235)</f>
        <v>2023</v>
      </c>
      <c r="E235" s="3">
        <v>45250</v>
      </c>
      <c r="F235" s="4" t="s">
        <v>257</v>
      </c>
      <c r="G235" s="4" t="s">
        <v>19</v>
      </c>
      <c r="H235" s="4">
        <v>62</v>
      </c>
      <c r="I235" s="4" t="str" cm="1">
        <f t="array" ref="I235">_xlfn.IFS(
  H235&lt;30,"Young Adult",
  H235&lt;50,"Adult",
  H235&gt;=50,"Senior"
)</f>
        <v>Senior</v>
      </c>
      <c r="J235" s="4" t="s">
        <v>23</v>
      </c>
      <c r="K235" s="4">
        <v>2</v>
      </c>
      <c r="L235" s="5">
        <v>25</v>
      </c>
      <c r="M235" s="5">
        <f xml:space="preserve"> K235*L235</f>
        <v>50</v>
      </c>
      <c r="N235" s="14">
        <f xml:space="preserve"> M235 * $Q$3</f>
        <v>0.75</v>
      </c>
      <c r="O235" s="5"/>
    </row>
    <row r="236" spans="1:15">
      <c r="A236" s="2">
        <v>235</v>
      </c>
      <c r="B236" s="4">
        <f>DAY(E236)</f>
        <v>31</v>
      </c>
      <c r="C236" s="4">
        <f>MONTH(E236)</f>
        <v>1</v>
      </c>
      <c r="D236" s="4">
        <f>YEAR(E236)</f>
        <v>2023</v>
      </c>
      <c r="E236" s="3">
        <v>44957</v>
      </c>
      <c r="F236" s="4" t="s">
        <v>258</v>
      </c>
      <c r="G236" s="4" t="s">
        <v>19</v>
      </c>
      <c r="H236" s="4">
        <v>23</v>
      </c>
      <c r="I236" s="4" t="str" cm="1">
        <f t="array" ref="I236">_xlfn.IFS(
  H236&lt;30,"Young Adult",
  H236&lt;50,"Adult",
  H236&gt;=50,"Senior"
)</f>
        <v>Young Adult</v>
      </c>
      <c r="J236" s="4" t="s">
        <v>23</v>
      </c>
      <c r="K236" s="4">
        <v>2</v>
      </c>
      <c r="L236" s="5">
        <v>500</v>
      </c>
      <c r="M236" s="5">
        <f xml:space="preserve"> K236*L236</f>
        <v>1000</v>
      </c>
      <c r="N236" s="14">
        <f xml:space="preserve"> M236 * $Q$3</f>
        <v>15</v>
      </c>
      <c r="O236" s="5"/>
    </row>
    <row r="237" spans="1:15">
      <c r="A237" s="2">
        <v>236</v>
      </c>
      <c r="B237" s="4">
        <f>DAY(E237)</f>
        <v>28</v>
      </c>
      <c r="C237" s="4">
        <f>MONTH(E237)</f>
        <v>4</v>
      </c>
      <c r="D237" s="4">
        <f>YEAR(E237)</f>
        <v>2023</v>
      </c>
      <c r="E237" s="17">
        <v>45044</v>
      </c>
      <c r="F237" s="4" t="s">
        <v>259</v>
      </c>
      <c r="G237" s="4" t="s">
        <v>19</v>
      </c>
      <c r="H237" s="4">
        <v>54</v>
      </c>
      <c r="I237" s="4" t="str" cm="1">
        <f t="array" ref="I237">_xlfn.IFS(
  H237&lt;30,"Young Adult",
  H237&lt;50,"Adult",
  H237&gt;=50,"Senior"
)</f>
        <v>Senior</v>
      </c>
      <c r="J237" s="4" t="s">
        <v>20</v>
      </c>
      <c r="K237" s="4">
        <v>1</v>
      </c>
      <c r="L237" s="5">
        <v>25</v>
      </c>
      <c r="M237" s="5">
        <f xml:space="preserve"> K237*L237</f>
        <v>25</v>
      </c>
      <c r="N237" s="14">
        <f xml:space="preserve"> M237 * $Q$3</f>
        <v>0.375</v>
      </c>
      <c r="O237" s="5"/>
    </row>
    <row r="238" spans="1:15">
      <c r="A238" s="2">
        <v>237</v>
      </c>
      <c r="B238" s="4">
        <f>DAY(E238)</f>
        <v>4</v>
      </c>
      <c r="C238" s="4">
        <f>MONTH(E238)</f>
        <v>2</v>
      </c>
      <c r="D238" s="4">
        <f>YEAR(E238)</f>
        <v>2023</v>
      </c>
      <c r="E238" s="3">
        <v>44961</v>
      </c>
      <c r="F238" s="4" t="s">
        <v>260</v>
      </c>
      <c r="G238" s="4" t="s">
        <v>19</v>
      </c>
      <c r="H238" s="4">
        <v>50</v>
      </c>
      <c r="I238" s="4" t="str" cm="1">
        <f t="array" ref="I238">_xlfn.IFS(
  H238&lt;30,"Young Adult",
  H238&lt;50,"Adult",
  H238&gt;=50,"Senior"
)</f>
        <v>Senior</v>
      </c>
      <c r="J238" s="4" t="s">
        <v>16</v>
      </c>
      <c r="K238" s="4">
        <v>2</v>
      </c>
      <c r="L238" s="5">
        <v>500</v>
      </c>
      <c r="M238" s="5">
        <f xml:space="preserve"> K238*L238</f>
        <v>1000</v>
      </c>
      <c r="N238" s="14">
        <f xml:space="preserve"> M238 * $Q$3</f>
        <v>15</v>
      </c>
      <c r="O238" s="5"/>
    </row>
    <row r="239" spans="1:15">
      <c r="A239" s="2">
        <v>238</v>
      </c>
      <c r="B239" s="4">
        <f>DAY(E239)</f>
        <v>17</v>
      </c>
      <c r="C239" s="4">
        <f>MONTH(E239)</f>
        <v>1</v>
      </c>
      <c r="D239" s="4">
        <f>YEAR(E239)</f>
        <v>2023</v>
      </c>
      <c r="E239" s="3">
        <v>44943</v>
      </c>
      <c r="F239" s="4" t="s">
        <v>261</v>
      </c>
      <c r="G239" s="4" t="s">
        <v>19</v>
      </c>
      <c r="H239" s="4">
        <v>39</v>
      </c>
      <c r="I239" s="4" t="str" cm="1">
        <f t="array" ref="I239">_xlfn.IFS(
  H239&lt;30,"Young Adult",
  H239&lt;50,"Adult",
  H239&gt;=50,"Senior"
)</f>
        <v>Adult</v>
      </c>
      <c r="J239" s="4" t="s">
        <v>16</v>
      </c>
      <c r="K239" s="4">
        <v>1</v>
      </c>
      <c r="L239" s="5">
        <v>500</v>
      </c>
      <c r="M239" s="5">
        <f xml:space="preserve"> K239*L239</f>
        <v>500</v>
      </c>
      <c r="N239" s="14">
        <f xml:space="preserve"> M239 * $Q$3</f>
        <v>7.5</v>
      </c>
      <c r="O239" s="5"/>
    </row>
    <row r="240" spans="1:15">
      <c r="A240" s="2">
        <v>239</v>
      </c>
      <c r="B240" s="4">
        <f>DAY(E240)</f>
        <v>19</v>
      </c>
      <c r="C240" s="4">
        <f>MONTH(E240)</f>
        <v>6</v>
      </c>
      <c r="D240" s="4">
        <f>YEAR(E240)</f>
        <v>2023</v>
      </c>
      <c r="E240" s="3">
        <v>45096</v>
      </c>
      <c r="F240" s="4" t="s">
        <v>262</v>
      </c>
      <c r="G240" s="4" t="s">
        <v>15</v>
      </c>
      <c r="H240" s="4">
        <v>38</v>
      </c>
      <c r="I240" s="4" t="str" cm="1">
        <f t="array" ref="I240">_xlfn.IFS(
  H240&lt;30,"Young Adult",
  H240&lt;50,"Adult",
  H240&gt;=50,"Senior"
)</f>
        <v>Adult</v>
      </c>
      <c r="J240" s="4" t="s">
        <v>23</v>
      </c>
      <c r="K240" s="4">
        <v>3</v>
      </c>
      <c r="L240" s="5">
        <v>500</v>
      </c>
      <c r="M240" s="5">
        <f xml:space="preserve"> K240*L240</f>
        <v>1500</v>
      </c>
      <c r="N240" s="14">
        <f xml:space="preserve"> M240 * $Q$3</f>
        <v>22.5</v>
      </c>
      <c r="O240" s="5"/>
    </row>
    <row r="241" spans="1:15">
      <c r="A241" s="2">
        <v>240</v>
      </c>
      <c r="B241" s="4">
        <f>DAY(E241)</f>
        <v>6</v>
      </c>
      <c r="C241" s="4">
        <f>MONTH(E241)</f>
        <v>2</v>
      </c>
      <c r="D241" s="4">
        <f>YEAR(E241)</f>
        <v>2023</v>
      </c>
      <c r="E241" s="3">
        <v>44963</v>
      </c>
      <c r="F241" s="4" t="s">
        <v>263</v>
      </c>
      <c r="G241" s="4" t="s">
        <v>19</v>
      </c>
      <c r="H241" s="4">
        <v>23</v>
      </c>
      <c r="I241" s="4" t="str" cm="1">
        <f t="array" ref="I241">_xlfn.IFS(
  H241&lt;30,"Young Adult",
  H241&lt;50,"Adult",
  H241&gt;=50,"Senior"
)</f>
        <v>Young Adult</v>
      </c>
      <c r="J241" s="4" t="s">
        <v>16</v>
      </c>
      <c r="K241" s="4">
        <v>1</v>
      </c>
      <c r="L241" s="5">
        <v>300</v>
      </c>
      <c r="M241" s="5">
        <f xml:space="preserve"> K241*L241</f>
        <v>300</v>
      </c>
      <c r="N241" s="14">
        <f xml:space="preserve"> M241 * $Q$3</f>
        <v>4.5</v>
      </c>
      <c r="O241" s="5"/>
    </row>
    <row r="242" spans="1:15">
      <c r="A242" s="2">
        <v>241</v>
      </c>
      <c r="B242" s="4">
        <f>DAY(E242)</f>
        <v>21</v>
      </c>
      <c r="C242" s="4">
        <f>MONTH(E242)</f>
        <v>9</v>
      </c>
      <c r="D242" s="4">
        <f>YEAR(E242)</f>
        <v>2023</v>
      </c>
      <c r="E242" s="3">
        <v>45190</v>
      </c>
      <c r="F242" s="4" t="s">
        <v>264</v>
      </c>
      <c r="G242" s="4" t="s">
        <v>19</v>
      </c>
      <c r="H242" s="4">
        <v>23</v>
      </c>
      <c r="I242" s="4" t="str" cm="1">
        <f t="array" ref="I242">_xlfn.IFS(
  H242&lt;30,"Young Adult",
  H242&lt;50,"Adult",
  H242&gt;=50,"Senior"
)</f>
        <v>Young Adult</v>
      </c>
      <c r="J242" s="4" t="s">
        <v>23</v>
      </c>
      <c r="K242" s="4">
        <v>3</v>
      </c>
      <c r="L242" s="5">
        <v>25</v>
      </c>
      <c r="M242" s="5">
        <f xml:space="preserve"> K242*L242</f>
        <v>75</v>
      </c>
      <c r="N242" s="14">
        <f xml:space="preserve"> M242 * $Q$3</f>
        <v>1.125</v>
      </c>
      <c r="O242" s="5"/>
    </row>
    <row r="243" spans="1:15">
      <c r="A243" s="2">
        <v>242</v>
      </c>
      <c r="B243" s="4">
        <f>DAY(E243)</f>
        <v>2</v>
      </c>
      <c r="C243" s="4">
        <f>MONTH(E243)</f>
        <v>5</v>
      </c>
      <c r="D243" s="4">
        <f>YEAR(E243)</f>
        <v>2023</v>
      </c>
      <c r="E243" s="17">
        <v>45048</v>
      </c>
      <c r="F243" s="4" t="s">
        <v>265</v>
      </c>
      <c r="G243" s="4" t="s">
        <v>15</v>
      </c>
      <c r="H243" s="4">
        <v>21</v>
      </c>
      <c r="I243" s="4" t="str" cm="1">
        <f t="array" ref="I243">_xlfn.IFS(
  H243&lt;30,"Young Adult",
  H243&lt;50,"Adult",
  H243&gt;=50,"Senior"
)</f>
        <v>Young Adult</v>
      </c>
      <c r="J243" s="4" t="s">
        <v>20</v>
      </c>
      <c r="K243" s="4">
        <v>1</v>
      </c>
      <c r="L243" s="5">
        <v>25</v>
      </c>
      <c r="M243" s="5">
        <f xml:space="preserve"> K243*L243</f>
        <v>25</v>
      </c>
      <c r="N243" s="14">
        <f xml:space="preserve"> M243 * $Q$3</f>
        <v>0.375</v>
      </c>
      <c r="O243" s="5"/>
    </row>
    <row r="244" spans="1:15">
      <c r="A244" s="2">
        <v>243</v>
      </c>
      <c r="B244" s="4">
        <f>DAY(E244)</f>
        <v>23</v>
      </c>
      <c r="C244" s="4">
        <f>MONTH(E244)</f>
        <v>5</v>
      </c>
      <c r="D244" s="4">
        <f>YEAR(E244)</f>
        <v>2023</v>
      </c>
      <c r="E244" s="17">
        <v>45069</v>
      </c>
      <c r="F244" s="4" t="s">
        <v>266</v>
      </c>
      <c r="G244" s="4" t="s">
        <v>19</v>
      </c>
      <c r="H244" s="4">
        <v>47</v>
      </c>
      <c r="I244" s="4" t="str" cm="1">
        <f t="array" ref="I244">_xlfn.IFS(
  H244&lt;30,"Young Adult",
  H244&lt;50,"Adult",
  H244&gt;=50,"Senior"
)</f>
        <v>Adult</v>
      </c>
      <c r="J244" s="4" t="s">
        <v>23</v>
      </c>
      <c r="K244" s="4">
        <v>3</v>
      </c>
      <c r="L244" s="5">
        <v>300</v>
      </c>
      <c r="M244" s="5">
        <f xml:space="preserve"> K244*L244</f>
        <v>900</v>
      </c>
      <c r="N244" s="14">
        <f xml:space="preserve"> M244 * $Q$3</f>
        <v>13.5</v>
      </c>
      <c r="O244" s="5"/>
    </row>
    <row r="245" spans="1:15">
      <c r="A245" s="2">
        <v>244</v>
      </c>
      <c r="B245" s="4">
        <f>DAY(E245)</f>
        <v>9</v>
      </c>
      <c r="C245" s="4">
        <f>MONTH(E245)</f>
        <v>12</v>
      </c>
      <c r="D245" s="4">
        <f>YEAR(E245)</f>
        <v>2023</v>
      </c>
      <c r="E245" s="3">
        <v>45269</v>
      </c>
      <c r="F245" s="4" t="s">
        <v>267</v>
      </c>
      <c r="G245" s="4" t="s">
        <v>15</v>
      </c>
      <c r="H245" s="4">
        <v>28</v>
      </c>
      <c r="I245" s="4" t="str" cm="1">
        <f t="array" ref="I245">_xlfn.IFS(
  H245&lt;30,"Young Adult",
  H245&lt;50,"Adult",
  H245&gt;=50,"Senior"
)</f>
        <v>Young Adult</v>
      </c>
      <c r="J245" s="4" t="s">
        <v>16</v>
      </c>
      <c r="K245" s="4">
        <v>2</v>
      </c>
      <c r="L245" s="5">
        <v>50</v>
      </c>
      <c r="M245" s="5">
        <f xml:space="preserve"> K245*L245</f>
        <v>100</v>
      </c>
      <c r="N245" s="14">
        <f xml:space="preserve"> M245 * $Q$3</f>
        <v>1.5</v>
      </c>
      <c r="O245" s="5"/>
    </row>
    <row r="246" spans="1:15">
      <c r="A246" s="2">
        <v>245</v>
      </c>
      <c r="B246" s="4">
        <f>DAY(E246)</f>
        <v>6</v>
      </c>
      <c r="C246" s="4">
        <f>MONTH(E246)</f>
        <v>9</v>
      </c>
      <c r="D246" s="4">
        <f>YEAR(E246)</f>
        <v>2023</v>
      </c>
      <c r="E246" s="3">
        <v>45175</v>
      </c>
      <c r="F246" s="4" t="s">
        <v>268</v>
      </c>
      <c r="G246" s="4" t="s">
        <v>15</v>
      </c>
      <c r="H246" s="4">
        <v>47</v>
      </c>
      <c r="I246" s="4" t="str" cm="1">
        <f t="array" ref="I246">_xlfn.IFS(
  H246&lt;30,"Young Adult",
  H246&lt;50,"Adult",
  H246&gt;=50,"Senior"
)</f>
        <v>Adult</v>
      </c>
      <c r="J246" s="4" t="s">
        <v>20</v>
      </c>
      <c r="K246" s="4">
        <v>3</v>
      </c>
      <c r="L246" s="5">
        <v>30</v>
      </c>
      <c r="M246" s="5">
        <f xml:space="preserve"> K246*L246</f>
        <v>90</v>
      </c>
      <c r="N246" s="14">
        <f xml:space="preserve"> M246 * $Q$3</f>
        <v>1.3499999999999999</v>
      </c>
      <c r="O246" s="5"/>
    </row>
    <row r="247" spans="1:15">
      <c r="A247" s="2">
        <v>246</v>
      </c>
      <c r="B247" s="4">
        <f>DAY(E247)</f>
        <v>20</v>
      </c>
      <c r="C247" s="4">
        <f>MONTH(E247)</f>
        <v>4</v>
      </c>
      <c r="D247" s="4">
        <f>YEAR(E247)</f>
        <v>2023</v>
      </c>
      <c r="E247" s="17">
        <v>45036</v>
      </c>
      <c r="F247" s="4" t="s">
        <v>269</v>
      </c>
      <c r="G247" s="4" t="s">
        <v>19</v>
      </c>
      <c r="H247" s="4">
        <v>48</v>
      </c>
      <c r="I247" s="4" t="str" cm="1">
        <f t="array" ref="I247">_xlfn.IFS(
  H247&lt;30,"Young Adult",
  H247&lt;50,"Adult",
  H247&gt;=50,"Senior"
)</f>
        <v>Adult</v>
      </c>
      <c r="J247" s="4" t="s">
        <v>23</v>
      </c>
      <c r="K247" s="4">
        <v>2</v>
      </c>
      <c r="L247" s="5">
        <v>25</v>
      </c>
      <c r="M247" s="5">
        <f xml:space="preserve"> K247*L247</f>
        <v>50</v>
      </c>
      <c r="N247" s="14">
        <f xml:space="preserve"> M247 * $Q$3</f>
        <v>0.75</v>
      </c>
      <c r="O247" s="5"/>
    </row>
    <row r="248" spans="1:15">
      <c r="A248" s="2">
        <v>247</v>
      </c>
      <c r="B248" s="4">
        <f>DAY(E248)</f>
        <v>4</v>
      </c>
      <c r="C248" s="4">
        <f>MONTH(E248)</f>
        <v>10</v>
      </c>
      <c r="D248" s="4">
        <f>YEAR(E248)</f>
        <v>2023</v>
      </c>
      <c r="E248" s="3">
        <v>45203</v>
      </c>
      <c r="F248" s="4" t="s">
        <v>270</v>
      </c>
      <c r="G248" s="4" t="s">
        <v>15</v>
      </c>
      <c r="H248" s="4">
        <v>41</v>
      </c>
      <c r="I248" s="4" t="str" cm="1">
        <f t="array" ref="I248">_xlfn.IFS(
  H248&lt;30,"Young Adult",
  H248&lt;50,"Adult",
  H248&gt;=50,"Senior"
)</f>
        <v>Adult</v>
      </c>
      <c r="J248" s="4" t="s">
        <v>23</v>
      </c>
      <c r="K248" s="4">
        <v>2</v>
      </c>
      <c r="L248" s="5">
        <v>30</v>
      </c>
      <c r="M248" s="5">
        <f xml:space="preserve"> K248*L248</f>
        <v>60</v>
      </c>
      <c r="N248" s="14">
        <f xml:space="preserve"> M248 * $Q$3</f>
        <v>0.89999999999999991</v>
      </c>
      <c r="O248" s="5"/>
    </row>
    <row r="249" spans="1:15">
      <c r="A249" s="2">
        <v>248</v>
      </c>
      <c r="B249" s="4">
        <f>DAY(E249)</f>
        <v>9</v>
      </c>
      <c r="C249" s="4">
        <f>MONTH(E249)</f>
        <v>3</v>
      </c>
      <c r="D249" s="4">
        <f>YEAR(E249)</f>
        <v>2023</v>
      </c>
      <c r="E249" s="17">
        <v>44994</v>
      </c>
      <c r="F249" s="4" t="s">
        <v>271</v>
      </c>
      <c r="G249" s="4" t="s">
        <v>15</v>
      </c>
      <c r="H249" s="4">
        <v>26</v>
      </c>
      <c r="I249" s="4" t="str" cm="1">
        <f t="array" ref="I249">_xlfn.IFS(
  H249&lt;30,"Young Adult",
  H249&lt;50,"Adult",
  H249&gt;=50,"Senior"
)</f>
        <v>Young Adult</v>
      </c>
      <c r="J249" s="4" t="s">
        <v>20</v>
      </c>
      <c r="K249" s="4">
        <v>3</v>
      </c>
      <c r="L249" s="5">
        <v>300</v>
      </c>
      <c r="M249" s="5">
        <f xml:space="preserve"> K249*L249</f>
        <v>900</v>
      </c>
      <c r="N249" s="14">
        <f xml:space="preserve"> M249 * $Q$3</f>
        <v>13.5</v>
      </c>
      <c r="O249" s="5"/>
    </row>
    <row r="250" spans="1:15">
      <c r="A250" s="2">
        <v>249</v>
      </c>
      <c r="B250" s="4">
        <f>DAY(E250)</f>
        <v>20</v>
      </c>
      <c r="C250" s="4">
        <f>MONTH(E250)</f>
        <v>10</v>
      </c>
      <c r="D250" s="4">
        <f>YEAR(E250)</f>
        <v>2023</v>
      </c>
      <c r="E250" s="3">
        <v>45219</v>
      </c>
      <c r="F250" s="4" t="s">
        <v>272</v>
      </c>
      <c r="G250" s="4" t="s">
        <v>15</v>
      </c>
      <c r="H250" s="4">
        <v>20</v>
      </c>
      <c r="I250" s="4" t="str" cm="1">
        <f t="array" ref="I250">_xlfn.IFS(
  H250&lt;30,"Young Adult",
  H250&lt;50,"Adult",
  H250&gt;=50,"Senior"
)</f>
        <v>Young Adult</v>
      </c>
      <c r="J250" s="4" t="s">
        <v>20</v>
      </c>
      <c r="K250" s="4">
        <v>1</v>
      </c>
      <c r="L250" s="5">
        <v>50</v>
      </c>
      <c r="M250" s="5">
        <f xml:space="preserve"> K250*L250</f>
        <v>50</v>
      </c>
      <c r="N250" s="14">
        <f xml:space="preserve"> M250 * $Q$3</f>
        <v>0.75</v>
      </c>
      <c r="O250" s="5"/>
    </row>
    <row r="251" spans="1:15">
      <c r="A251" s="2">
        <v>250</v>
      </c>
      <c r="B251" s="4">
        <f>DAY(E251)</f>
        <v>23</v>
      </c>
      <c r="C251" s="4">
        <f>MONTH(E251)</f>
        <v>10</v>
      </c>
      <c r="D251" s="4">
        <f>YEAR(E251)</f>
        <v>2023</v>
      </c>
      <c r="E251" s="3">
        <v>45222</v>
      </c>
      <c r="F251" s="4" t="s">
        <v>273</v>
      </c>
      <c r="G251" s="4" t="s">
        <v>15</v>
      </c>
      <c r="H251" s="4">
        <v>48</v>
      </c>
      <c r="I251" s="4" t="str" cm="1">
        <f t="array" ref="I251">_xlfn.IFS(
  H251&lt;30,"Young Adult",
  H251&lt;50,"Adult",
  H251&gt;=50,"Senior"
)</f>
        <v>Adult</v>
      </c>
      <c r="J251" s="4" t="s">
        <v>23</v>
      </c>
      <c r="K251" s="4">
        <v>1</v>
      </c>
      <c r="L251" s="5">
        <v>50</v>
      </c>
      <c r="M251" s="5">
        <f xml:space="preserve"> K251*L251</f>
        <v>50</v>
      </c>
      <c r="N251" s="14">
        <f xml:space="preserve"> M251 * $Q$3</f>
        <v>0.75</v>
      </c>
      <c r="O251" s="5"/>
    </row>
    <row r="252" spans="1:15">
      <c r="A252" s="2">
        <v>251</v>
      </c>
      <c r="B252" s="4">
        <f>DAY(E252)</f>
        <v>31</v>
      </c>
      <c r="C252" s="4">
        <f>MONTH(E252)</f>
        <v>8</v>
      </c>
      <c r="D252" s="4">
        <f>YEAR(E252)</f>
        <v>2023</v>
      </c>
      <c r="E252" s="3">
        <v>45169</v>
      </c>
      <c r="F252" s="4" t="s">
        <v>274</v>
      </c>
      <c r="G252" s="4" t="s">
        <v>19</v>
      </c>
      <c r="H252" s="4">
        <v>57</v>
      </c>
      <c r="I252" s="4" t="str" cm="1">
        <f t="array" ref="I252">_xlfn.IFS(
  H252&lt;30,"Young Adult",
  H252&lt;50,"Adult",
  H252&gt;=50,"Senior"
)</f>
        <v>Senior</v>
      </c>
      <c r="J252" s="4" t="s">
        <v>16</v>
      </c>
      <c r="K252" s="4">
        <v>4</v>
      </c>
      <c r="L252" s="5">
        <v>50</v>
      </c>
      <c r="M252" s="5">
        <f xml:space="preserve"> K252*L252</f>
        <v>200</v>
      </c>
      <c r="N252" s="14">
        <f xml:space="preserve"> M252 * $Q$3</f>
        <v>3</v>
      </c>
      <c r="O252" s="5"/>
    </row>
    <row r="253" spans="1:15">
      <c r="A253" s="2">
        <v>252</v>
      </c>
      <c r="B253" s="4">
        <f>DAY(E253)</f>
        <v>5</v>
      </c>
      <c r="C253" s="4">
        <f>MONTH(E253)</f>
        <v>5</v>
      </c>
      <c r="D253" s="4">
        <f>YEAR(E253)</f>
        <v>2023</v>
      </c>
      <c r="E253" s="17">
        <v>45051</v>
      </c>
      <c r="F253" s="4" t="s">
        <v>275</v>
      </c>
      <c r="G253" s="4" t="s">
        <v>15</v>
      </c>
      <c r="H253" s="4">
        <v>54</v>
      </c>
      <c r="I253" s="4" t="str" cm="1">
        <f t="array" ref="I253">_xlfn.IFS(
  H253&lt;30,"Young Adult",
  H253&lt;50,"Adult",
  H253&gt;=50,"Senior"
)</f>
        <v>Senior</v>
      </c>
      <c r="J253" s="4" t="s">
        <v>23</v>
      </c>
      <c r="K253" s="4">
        <v>1</v>
      </c>
      <c r="L253" s="5">
        <v>300</v>
      </c>
      <c r="M253" s="5">
        <f xml:space="preserve"> K253*L253</f>
        <v>300</v>
      </c>
      <c r="N253" s="14">
        <f xml:space="preserve"> M253 * $Q$3</f>
        <v>4.5</v>
      </c>
      <c r="O253" s="5"/>
    </row>
    <row r="254" spans="1:15">
      <c r="A254" s="2">
        <v>253</v>
      </c>
      <c r="B254" s="4">
        <f>DAY(E254)</f>
        <v>31</v>
      </c>
      <c r="C254" s="4">
        <f>MONTH(E254)</f>
        <v>8</v>
      </c>
      <c r="D254" s="4">
        <f>YEAR(E254)</f>
        <v>2023</v>
      </c>
      <c r="E254" s="3">
        <v>45169</v>
      </c>
      <c r="F254" s="4" t="s">
        <v>276</v>
      </c>
      <c r="G254" s="4" t="s">
        <v>19</v>
      </c>
      <c r="H254" s="4">
        <v>53</v>
      </c>
      <c r="I254" s="4" t="str" cm="1">
        <f t="array" ref="I254">_xlfn.IFS(
  H254&lt;30,"Young Adult",
  H254&lt;50,"Adult",
  H254&gt;=50,"Senior"
)</f>
        <v>Senior</v>
      </c>
      <c r="J254" s="4" t="s">
        <v>20</v>
      </c>
      <c r="K254" s="4">
        <v>4</v>
      </c>
      <c r="L254" s="5">
        <v>500</v>
      </c>
      <c r="M254" s="5">
        <f xml:space="preserve"> K254*L254</f>
        <v>2000</v>
      </c>
      <c r="N254" s="14">
        <f xml:space="preserve"> M254 * $Q$3</f>
        <v>30</v>
      </c>
      <c r="O254" s="5"/>
    </row>
    <row r="255" spans="1:15">
      <c r="A255" s="2">
        <v>254</v>
      </c>
      <c r="B255" s="4">
        <f>DAY(E255)</f>
        <v>28</v>
      </c>
      <c r="C255" s="4">
        <f>MONTH(E255)</f>
        <v>7</v>
      </c>
      <c r="D255" s="4">
        <f>YEAR(E255)</f>
        <v>2023</v>
      </c>
      <c r="E255" s="3">
        <v>45135</v>
      </c>
      <c r="F255" s="4" t="s">
        <v>277</v>
      </c>
      <c r="G255" s="4" t="s">
        <v>15</v>
      </c>
      <c r="H255" s="4">
        <v>41</v>
      </c>
      <c r="I255" s="4" t="str" cm="1">
        <f t="array" ref="I255">_xlfn.IFS(
  H255&lt;30,"Young Adult",
  H255&lt;50,"Adult",
  H255&gt;=50,"Senior"
)</f>
        <v>Adult</v>
      </c>
      <c r="J255" s="4" t="s">
        <v>23</v>
      </c>
      <c r="K255" s="4">
        <v>1</v>
      </c>
      <c r="L255" s="5">
        <v>500</v>
      </c>
      <c r="M255" s="5">
        <f xml:space="preserve"> K255*L255</f>
        <v>500</v>
      </c>
      <c r="N255" s="14">
        <f xml:space="preserve"> M255 * $Q$3</f>
        <v>7.5</v>
      </c>
      <c r="O255" s="5"/>
    </row>
    <row r="256" spans="1:15">
      <c r="A256" s="2">
        <v>255</v>
      </c>
      <c r="B256" s="4">
        <f>DAY(E256)</f>
        <v>8</v>
      </c>
      <c r="C256" s="4">
        <f>MONTH(E256)</f>
        <v>4</v>
      </c>
      <c r="D256" s="4">
        <f>YEAR(E256)</f>
        <v>2023</v>
      </c>
      <c r="E256" s="17">
        <v>45024</v>
      </c>
      <c r="F256" s="4" t="s">
        <v>278</v>
      </c>
      <c r="G256" s="4" t="s">
        <v>15</v>
      </c>
      <c r="H256" s="4">
        <v>48</v>
      </c>
      <c r="I256" s="4" t="str" cm="1">
        <f t="array" ref="I256">_xlfn.IFS(
  H256&lt;30,"Young Adult",
  H256&lt;50,"Adult",
  H256&gt;=50,"Senior"
)</f>
        <v>Adult</v>
      </c>
      <c r="J256" s="4" t="s">
        <v>20</v>
      </c>
      <c r="K256" s="4">
        <v>1</v>
      </c>
      <c r="L256" s="5">
        <v>30</v>
      </c>
      <c r="M256" s="5">
        <f xml:space="preserve"> K256*L256</f>
        <v>30</v>
      </c>
      <c r="N256" s="14">
        <f xml:space="preserve"> M256 * $Q$3</f>
        <v>0.44999999999999996</v>
      </c>
      <c r="O256" s="5"/>
    </row>
    <row r="257" spans="1:15">
      <c r="A257" s="2">
        <v>256</v>
      </c>
      <c r="B257" s="4">
        <f>DAY(E257)</f>
        <v>18</v>
      </c>
      <c r="C257" s="4">
        <f>MONTH(E257)</f>
        <v>2</v>
      </c>
      <c r="D257" s="4">
        <f>YEAR(E257)</f>
        <v>2023</v>
      </c>
      <c r="E257" s="3">
        <v>44975</v>
      </c>
      <c r="F257" s="4" t="s">
        <v>279</v>
      </c>
      <c r="G257" s="4" t="s">
        <v>15</v>
      </c>
      <c r="H257" s="4">
        <v>23</v>
      </c>
      <c r="I257" s="4" t="str" cm="1">
        <f t="array" ref="I257">_xlfn.IFS(
  H257&lt;30,"Young Adult",
  H257&lt;50,"Adult",
  H257&gt;=50,"Senior"
)</f>
        <v>Young Adult</v>
      </c>
      <c r="J257" s="4" t="s">
        <v>20</v>
      </c>
      <c r="K257" s="4">
        <v>2</v>
      </c>
      <c r="L257" s="5">
        <v>500</v>
      </c>
      <c r="M257" s="5">
        <f xml:space="preserve"> K257*L257</f>
        <v>1000</v>
      </c>
      <c r="N257" s="14">
        <f xml:space="preserve"> M257 * $Q$3</f>
        <v>15</v>
      </c>
      <c r="O257" s="5"/>
    </row>
    <row r="258" spans="1:15">
      <c r="A258" s="2">
        <v>257</v>
      </c>
      <c r="B258" s="4">
        <f>DAY(E258)</f>
        <v>19</v>
      </c>
      <c r="C258" s="4">
        <f>MONTH(E258)</f>
        <v>2</v>
      </c>
      <c r="D258" s="4">
        <f>YEAR(E258)</f>
        <v>2023</v>
      </c>
      <c r="E258" s="3">
        <v>44976</v>
      </c>
      <c r="F258" s="4" t="s">
        <v>280</v>
      </c>
      <c r="G258" s="4" t="s">
        <v>15</v>
      </c>
      <c r="H258" s="4">
        <v>19</v>
      </c>
      <c r="I258" s="4" t="str" cm="1">
        <f t="array" ref="I258">_xlfn.IFS(
  H258&lt;30,"Young Adult",
  H258&lt;50,"Adult",
  H258&gt;=50,"Senior"
)</f>
        <v>Young Adult</v>
      </c>
      <c r="J258" s="4" t="s">
        <v>16</v>
      </c>
      <c r="K258" s="4">
        <v>4</v>
      </c>
      <c r="L258" s="5">
        <v>500</v>
      </c>
      <c r="M258" s="5">
        <f xml:space="preserve"> K258*L258</f>
        <v>2000</v>
      </c>
      <c r="N258" s="14">
        <f xml:space="preserve"> M258 * $Q$3</f>
        <v>30</v>
      </c>
      <c r="O258" s="5"/>
    </row>
    <row r="259" spans="1:15">
      <c r="A259" s="2">
        <v>258</v>
      </c>
      <c r="B259" s="4">
        <f>DAY(E259)</f>
        <v>4</v>
      </c>
      <c r="C259" s="4">
        <f>MONTH(E259)</f>
        <v>12</v>
      </c>
      <c r="D259" s="4">
        <f>YEAR(E259)</f>
        <v>2023</v>
      </c>
      <c r="E259" s="3">
        <v>45264</v>
      </c>
      <c r="F259" s="4" t="s">
        <v>281</v>
      </c>
      <c r="G259" s="4" t="s">
        <v>19</v>
      </c>
      <c r="H259" s="4">
        <v>37</v>
      </c>
      <c r="I259" s="4" t="str" cm="1">
        <f t="array" ref="I259">_xlfn.IFS(
  H259&lt;30,"Young Adult",
  H259&lt;50,"Adult",
  H259&gt;=50,"Senior"
)</f>
        <v>Adult</v>
      </c>
      <c r="J259" s="4" t="s">
        <v>20</v>
      </c>
      <c r="K259" s="4">
        <v>1</v>
      </c>
      <c r="L259" s="5">
        <v>50</v>
      </c>
      <c r="M259" s="5">
        <f xml:space="preserve"> K259*L259</f>
        <v>50</v>
      </c>
      <c r="N259" s="14">
        <f xml:space="preserve"> M259 * $Q$3</f>
        <v>0.75</v>
      </c>
      <c r="O259" s="5"/>
    </row>
    <row r="260" spans="1:15">
      <c r="A260" s="2">
        <v>259</v>
      </c>
      <c r="B260" s="4">
        <f>DAY(E260)</f>
        <v>9</v>
      </c>
      <c r="C260" s="4">
        <f>MONTH(E260)</f>
        <v>8</v>
      </c>
      <c r="D260" s="4">
        <f>YEAR(E260)</f>
        <v>2023</v>
      </c>
      <c r="E260" s="3">
        <v>45147</v>
      </c>
      <c r="F260" s="4" t="s">
        <v>282</v>
      </c>
      <c r="G260" s="4" t="s">
        <v>19</v>
      </c>
      <c r="H260" s="4">
        <v>45</v>
      </c>
      <c r="I260" s="4" t="str" cm="1">
        <f t="array" ref="I260">_xlfn.IFS(
  H260&lt;30,"Young Adult",
  H260&lt;50,"Adult",
  H260&gt;=50,"Senior"
)</f>
        <v>Adult</v>
      </c>
      <c r="J260" s="4" t="s">
        <v>20</v>
      </c>
      <c r="K260" s="4">
        <v>4</v>
      </c>
      <c r="L260" s="5">
        <v>50</v>
      </c>
      <c r="M260" s="5">
        <f xml:space="preserve"> K260*L260</f>
        <v>200</v>
      </c>
      <c r="N260" s="14">
        <f xml:space="preserve"> M260 * $Q$3</f>
        <v>3</v>
      </c>
      <c r="O260" s="5"/>
    </row>
    <row r="261" spans="1:15">
      <c r="A261" s="2">
        <v>260</v>
      </c>
      <c r="B261" s="4">
        <f>DAY(E261)</f>
        <v>1</v>
      </c>
      <c r="C261" s="4">
        <f>MONTH(E261)</f>
        <v>7</v>
      </c>
      <c r="D261" s="4">
        <f>YEAR(E261)</f>
        <v>2023</v>
      </c>
      <c r="E261" s="3">
        <v>45108</v>
      </c>
      <c r="F261" s="4" t="s">
        <v>283</v>
      </c>
      <c r="G261" s="4" t="s">
        <v>15</v>
      </c>
      <c r="H261" s="4">
        <v>28</v>
      </c>
      <c r="I261" s="4" t="str" cm="1">
        <f t="array" ref="I261">_xlfn.IFS(
  H261&lt;30,"Young Adult",
  H261&lt;50,"Adult",
  H261&gt;=50,"Senior"
)</f>
        <v>Young Adult</v>
      </c>
      <c r="J261" s="4" t="s">
        <v>16</v>
      </c>
      <c r="K261" s="4">
        <v>2</v>
      </c>
      <c r="L261" s="5">
        <v>30</v>
      </c>
      <c r="M261" s="5">
        <f xml:space="preserve"> K261*L261</f>
        <v>60</v>
      </c>
      <c r="N261" s="14">
        <f xml:space="preserve"> M261 * $Q$3</f>
        <v>0.89999999999999991</v>
      </c>
      <c r="O261" s="5"/>
    </row>
    <row r="262" spans="1:15">
      <c r="A262" s="2">
        <v>261</v>
      </c>
      <c r="B262" s="4">
        <f>DAY(E262)</f>
        <v>5</v>
      </c>
      <c r="C262" s="4">
        <f>MONTH(E262)</f>
        <v>8</v>
      </c>
      <c r="D262" s="4">
        <f>YEAR(E262)</f>
        <v>2023</v>
      </c>
      <c r="E262" s="3">
        <v>45143</v>
      </c>
      <c r="F262" s="4" t="s">
        <v>284</v>
      </c>
      <c r="G262" s="4" t="s">
        <v>15</v>
      </c>
      <c r="H262" s="4">
        <v>21</v>
      </c>
      <c r="I262" s="4" t="str" cm="1">
        <f t="array" ref="I262">_xlfn.IFS(
  H262&lt;30,"Young Adult",
  H262&lt;50,"Adult",
  H262&gt;=50,"Senior"
)</f>
        <v>Young Adult</v>
      </c>
      <c r="J262" s="4" t="s">
        <v>20</v>
      </c>
      <c r="K262" s="4">
        <v>2</v>
      </c>
      <c r="L262" s="5">
        <v>25</v>
      </c>
      <c r="M262" s="5">
        <f xml:space="preserve"> K262*L262</f>
        <v>50</v>
      </c>
      <c r="N262" s="14">
        <f xml:space="preserve"> M262 * $Q$3</f>
        <v>0.75</v>
      </c>
      <c r="O262" s="5"/>
    </row>
    <row r="263" spans="1:15">
      <c r="A263" s="2">
        <v>262</v>
      </c>
      <c r="B263" s="4">
        <f>DAY(E263)</f>
        <v>30</v>
      </c>
      <c r="C263" s="4">
        <f>MONTH(E263)</f>
        <v>7</v>
      </c>
      <c r="D263" s="4">
        <f>YEAR(E263)</f>
        <v>2023</v>
      </c>
      <c r="E263" s="3">
        <v>45137</v>
      </c>
      <c r="F263" s="4" t="s">
        <v>285</v>
      </c>
      <c r="G263" s="4" t="s">
        <v>19</v>
      </c>
      <c r="H263" s="4">
        <v>32</v>
      </c>
      <c r="I263" s="4" t="str" cm="1">
        <f t="array" ref="I263">_xlfn.IFS(
  H263&lt;30,"Young Adult",
  H263&lt;50,"Adult",
  H263&gt;=50,"Senior"
)</f>
        <v>Adult</v>
      </c>
      <c r="J263" s="4" t="s">
        <v>16</v>
      </c>
      <c r="K263" s="4">
        <v>4</v>
      </c>
      <c r="L263" s="5">
        <v>30</v>
      </c>
      <c r="M263" s="5">
        <f xml:space="preserve"> K263*L263</f>
        <v>120</v>
      </c>
      <c r="N263" s="14">
        <f xml:space="preserve"> M263 * $Q$3</f>
        <v>1.7999999999999998</v>
      </c>
      <c r="O263" s="5"/>
    </row>
    <row r="264" spans="1:15">
      <c r="A264" s="2">
        <v>263</v>
      </c>
      <c r="B264" s="4">
        <f>DAY(E264)</f>
        <v>28</v>
      </c>
      <c r="C264" s="4">
        <f>MONTH(E264)</f>
        <v>8</v>
      </c>
      <c r="D264" s="4">
        <f>YEAR(E264)</f>
        <v>2023</v>
      </c>
      <c r="E264" s="3">
        <v>45166</v>
      </c>
      <c r="F264" s="4" t="s">
        <v>286</v>
      </c>
      <c r="G264" s="4" t="s">
        <v>15</v>
      </c>
      <c r="H264" s="4">
        <v>23</v>
      </c>
      <c r="I264" s="4" t="str" cm="1">
        <f t="array" ref="I264">_xlfn.IFS(
  H264&lt;30,"Young Adult",
  H264&lt;50,"Adult",
  H264&gt;=50,"Senior"
)</f>
        <v>Young Adult</v>
      </c>
      <c r="J264" s="4" t="s">
        <v>16</v>
      </c>
      <c r="K264" s="4">
        <v>2</v>
      </c>
      <c r="L264" s="5">
        <v>30</v>
      </c>
      <c r="M264" s="5">
        <f xml:space="preserve"> K264*L264</f>
        <v>60</v>
      </c>
      <c r="N264" s="14">
        <f xml:space="preserve"> M264 * $Q$3</f>
        <v>0.89999999999999991</v>
      </c>
      <c r="O264" s="5"/>
    </row>
    <row r="265" spans="1:15">
      <c r="A265" s="2">
        <v>264</v>
      </c>
      <c r="B265" s="4">
        <f>DAY(E265)</f>
        <v>28</v>
      </c>
      <c r="C265" s="4">
        <f>MONTH(E265)</f>
        <v>1</v>
      </c>
      <c r="D265" s="4">
        <f>YEAR(E265)</f>
        <v>2023</v>
      </c>
      <c r="E265" s="3">
        <v>44954</v>
      </c>
      <c r="F265" s="4" t="s">
        <v>287</v>
      </c>
      <c r="G265" s="4" t="s">
        <v>15</v>
      </c>
      <c r="H265" s="4">
        <v>47</v>
      </c>
      <c r="I265" s="4" t="str" cm="1">
        <f t="array" ref="I265">_xlfn.IFS(
  H265&lt;30,"Young Adult",
  H265&lt;50,"Adult",
  H265&gt;=50,"Senior"
)</f>
        <v>Adult</v>
      </c>
      <c r="J265" s="4" t="s">
        <v>20</v>
      </c>
      <c r="K265" s="4">
        <v>3</v>
      </c>
      <c r="L265" s="5">
        <v>300</v>
      </c>
      <c r="M265" s="5">
        <f xml:space="preserve"> K265*L265</f>
        <v>900</v>
      </c>
      <c r="N265" s="14">
        <f xml:space="preserve"> M265 * $Q$3</f>
        <v>13.5</v>
      </c>
      <c r="O265" s="5"/>
    </row>
    <row r="266" spans="1:15">
      <c r="A266" s="2">
        <v>265</v>
      </c>
      <c r="B266" s="4">
        <f>DAY(E266)</f>
        <v>11</v>
      </c>
      <c r="C266" s="4">
        <f>MONTH(E266)</f>
        <v>12</v>
      </c>
      <c r="D266" s="4">
        <f>YEAR(E266)</f>
        <v>2023</v>
      </c>
      <c r="E266" s="3">
        <v>45271</v>
      </c>
      <c r="F266" s="4" t="s">
        <v>288</v>
      </c>
      <c r="G266" s="4" t="s">
        <v>15</v>
      </c>
      <c r="H266" s="4">
        <v>55</v>
      </c>
      <c r="I266" s="4" t="str" cm="1">
        <f t="array" ref="I266">_xlfn.IFS(
  H266&lt;30,"Young Adult",
  H266&lt;50,"Adult",
  H266&gt;=50,"Senior"
)</f>
        <v>Senior</v>
      </c>
      <c r="J266" s="4" t="s">
        <v>20</v>
      </c>
      <c r="K266" s="4">
        <v>3</v>
      </c>
      <c r="L266" s="5">
        <v>300</v>
      </c>
      <c r="M266" s="5">
        <f xml:space="preserve"> K266*L266</f>
        <v>900</v>
      </c>
      <c r="N266" s="14">
        <f xml:space="preserve"> M266 * $Q$3</f>
        <v>13.5</v>
      </c>
      <c r="O266" s="5"/>
    </row>
    <row r="267" spans="1:15">
      <c r="A267" s="2">
        <v>266</v>
      </c>
      <c r="B267" s="4">
        <f>DAY(E267)</f>
        <v>1</v>
      </c>
      <c r="C267" s="4">
        <f>MONTH(E267)</f>
        <v>12</v>
      </c>
      <c r="D267" s="4">
        <f>YEAR(E267)</f>
        <v>2023</v>
      </c>
      <c r="E267" s="3">
        <v>45261</v>
      </c>
      <c r="F267" s="4" t="s">
        <v>289</v>
      </c>
      <c r="G267" s="4" t="s">
        <v>19</v>
      </c>
      <c r="H267" s="4">
        <v>19</v>
      </c>
      <c r="I267" s="4" t="str" cm="1">
        <f t="array" ref="I267">_xlfn.IFS(
  H267&lt;30,"Young Adult",
  H267&lt;50,"Adult",
  H267&gt;=50,"Senior"
)</f>
        <v>Young Adult</v>
      </c>
      <c r="J267" s="4" t="s">
        <v>23</v>
      </c>
      <c r="K267" s="4">
        <v>2</v>
      </c>
      <c r="L267" s="5">
        <v>30</v>
      </c>
      <c r="M267" s="5">
        <f xml:space="preserve"> K267*L267</f>
        <v>60</v>
      </c>
      <c r="N267" s="14">
        <f xml:space="preserve"> M267 * $Q$3</f>
        <v>0.89999999999999991</v>
      </c>
      <c r="O267" s="5"/>
    </row>
    <row r="268" spans="1:15">
      <c r="A268" s="2">
        <v>267</v>
      </c>
      <c r="B268" s="4">
        <f>DAY(E268)</f>
        <v>27</v>
      </c>
      <c r="C268" s="4">
        <f>MONTH(E268)</f>
        <v>11</v>
      </c>
      <c r="D268" s="4">
        <f>YEAR(E268)</f>
        <v>2023</v>
      </c>
      <c r="E268" s="3">
        <v>45257</v>
      </c>
      <c r="F268" s="4" t="s">
        <v>290</v>
      </c>
      <c r="G268" s="4" t="s">
        <v>19</v>
      </c>
      <c r="H268" s="4">
        <v>32</v>
      </c>
      <c r="I268" s="4" t="str" cm="1">
        <f t="array" ref="I268">_xlfn.IFS(
  H268&lt;30,"Young Adult",
  H268&lt;50,"Adult",
  H268&gt;=50,"Senior"
)</f>
        <v>Adult</v>
      </c>
      <c r="J268" s="4" t="s">
        <v>16</v>
      </c>
      <c r="K268" s="4">
        <v>3</v>
      </c>
      <c r="L268" s="5">
        <v>30</v>
      </c>
      <c r="M268" s="5">
        <f xml:space="preserve"> K268*L268</f>
        <v>90</v>
      </c>
      <c r="N268" s="14">
        <f xml:space="preserve"> M268 * $Q$3</f>
        <v>1.3499999999999999</v>
      </c>
      <c r="O268" s="5"/>
    </row>
    <row r="269" spans="1:15">
      <c r="A269" s="2">
        <v>268</v>
      </c>
      <c r="B269" s="4">
        <f>DAY(E269)</f>
        <v>20</v>
      </c>
      <c r="C269" s="4">
        <f>MONTH(E269)</f>
        <v>2</v>
      </c>
      <c r="D269" s="4">
        <f>YEAR(E269)</f>
        <v>2023</v>
      </c>
      <c r="E269" s="3">
        <v>44977</v>
      </c>
      <c r="F269" s="4" t="s">
        <v>291</v>
      </c>
      <c r="G269" s="4" t="s">
        <v>19</v>
      </c>
      <c r="H269" s="4">
        <v>28</v>
      </c>
      <c r="I269" s="4" t="str" cm="1">
        <f t="array" ref="I269">_xlfn.IFS(
  H269&lt;30,"Young Adult",
  H269&lt;50,"Adult",
  H269&gt;=50,"Senior"
)</f>
        <v>Young Adult</v>
      </c>
      <c r="J269" s="4" t="s">
        <v>23</v>
      </c>
      <c r="K269" s="4">
        <v>1</v>
      </c>
      <c r="L269" s="5">
        <v>30</v>
      </c>
      <c r="M269" s="5">
        <f xml:space="preserve"> K269*L269</f>
        <v>30</v>
      </c>
      <c r="N269" s="14">
        <f xml:space="preserve"> M269 * $Q$3</f>
        <v>0.44999999999999996</v>
      </c>
      <c r="O269" s="5"/>
    </row>
    <row r="270" spans="1:15">
      <c r="A270" s="2">
        <v>269</v>
      </c>
      <c r="B270" s="4">
        <f>DAY(E270)</f>
        <v>1</v>
      </c>
      <c r="C270" s="4">
        <f>MONTH(E270)</f>
        <v>2</v>
      </c>
      <c r="D270" s="4">
        <f>YEAR(E270)</f>
        <v>2023</v>
      </c>
      <c r="E270" s="3">
        <v>44958</v>
      </c>
      <c r="F270" s="4" t="s">
        <v>292</v>
      </c>
      <c r="G270" s="4" t="s">
        <v>15</v>
      </c>
      <c r="H270" s="4">
        <v>25</v>
      </c>
      <c r="I270" s="4" t="str" cm="1">
        <f t="array" ref="I270">_xlfn.IFS(
  H270&lt;30,"Young Adult",
  H270&lt;50,"Adult",
  H270&gt;=50,"Senior"
)</f>
        <v>Young Adult</v>
      </c>
      <c r="J270" s="4" t="s">
        <v>20</v>
      </c>
      <c r="K270" s="4">
        <v>4</v>
      </c>
      <c r="L270" s="5">
        <v>500</v>
      </c>
      <c r="M270" s="5">
        <f xml:space="preserve"> K270*L270</f>
        <v>2000</v>
      </c>
      <c r="N270" s="14">
        <f xml:space="preserve"> M270 * $Q$3</f>
        <v>30</v>
      </c>
      <c r="O270" s="5"/>
    </row>
    <row r="271" spans="1:15">
      <c r="A271" s="2">
        <v>270</v>
      </c>
      <c r="B271" s="4">
        <f>DAY(E271)</f>
        <v>26</v>
      </c>
      <c r="C271" s="4">
        <f>MONTH(E271)</f>
        <v>7</v>
      </c>
      <c r="D271" s="4">
        <f>YEAR(E271)</f>
        <v>2023</v>
      </c>
      <c r="E271" s="3">
        <v>45133</v>
      </c>
      <c r="F271" s="4" t="s">
        <v>293</v>
      </c>
      <c r="G271" s="4" t="s">
        <v>15</v>
      </c>
      <c r="H271" s="4">
        <v>43</v>
      </c>
      <c r="I271" s="4" t="str" cm="1">
        <f t="array" ref="I271">_xlfn.IFS(
  H271&lt;30,"Young Adult",
  H271&lt;50,"Adult",
  H271&gt;=50,"Senior"
)</f>
        <v>Adult</v>
      </c>
      <c r="J271" s="4" t="s">
        <v>23</v>
      </c>
      <c r="K271" s="4">
        <v>1</v>
      </c>
      <c r="L271" s="5">
        <v>300</v>
      </c>
      <c r="M271" s="5">
        <f xml:space="preserve"> K271*L271</f>
        <v>300</v>
      </c>
      <c r="N271" s="14">
        <f xml:space="preserve"> M271 * $Q$3</f>
        <v>4.5</v>
      </c>
      <c r="O271" s="5"/>
    </row>
    <row r="272" spans="1:15">
      <c r="A272" s="2">
        <v>271</v>
      </c>
      <c r="B272" s="4">
        <f>DAY(E272)</f>
        <v>23</v>
      </c>
      <c r="C272" s="4">
        <f>MONTH(E272)</f>
        <v>6</v>
      </c>
      <c r="D272" s="4">
        <f>YEAR(E272)</f>
        <v>2023</v>
      </c>
      <c r="E272" s="3">
        <v>45100</v>
      </c>
      <c r="F272" s="4" t="s">
        <v>294</v>
      </c>
      <c r="G272" s="4" t="s">
        <v>19</v>
      </c>
      <c r="H272" s="4">
        <v>62</v>
      </c>
      <c r="I272" s="4" t="str" cm="1">
        <f t="array" ref="I272">_xlfn.IFS(
  H272&lt;30,"Young Adult",
  H272&lt;50,"Adult",
  H272&gt;=50,"Senior"
)</f>
        <v>Senior</v>
      </c>
      <c r="J272" s="4" t="s">
        <v>16</v>
      </c>
      <c r="K272" s="4">
        <v>4</v>
      </c>
      <c r="L272" s="5">
        <v>30</v>
      </c>
      <c r="M272" s="5">
        <f xml:space="preserve"> K272*L272</f>
        <v>120</v>
      </c>
      <c r="N272" s="14">
        <f xml:space="preserve"> M272 * $Q$3</f>
        <v>1.7999999999999998</v>
      </c>
      <c r="O272" s="5"/>
    </row>
    <row r="273" spans="1:15">
      <c r="A273" s="2">
        <v>272</v>
      </c>
      <c r="B273" s="4">
        <f>DAY(E273)</f>
        <v>25</v>
      </c>
      <c r="C273" s="4">
        <f>MONTH(E273)</f>
        <v>2</v>
      </c>
      <c r="D273" s="4">
        <f>YEAR(E273)</f>
        <v>2023</v>
      </c>
      <c r="E273" s="3">
        <v>44982</v>
      </c>
      <c r="F273" s="4" t="s">
        <v>295</v>
      </c>
      <c r="G273" s="4" t="s">
        <v>19</v>
      </c>
      <c r="H273" s="4">
        <v>61</v>
      </c>
      <c r="I273" s="4" t="str" cm="1">
        <f t="array" ref="I273">_xlfn.IFS(
  H273&lt;30,"Young Adult",
  H273&lt;50,"Adult",
  H273&gt;=50,"Senior"
)</f>
        <v>Senior</v>
      </c>
      <c r="J273" s="4" t="s">
        <v>23</v>
      </c>
      <c r="K273" s="4">
        <v>2</v>
      </c>
      <c r="L273" s="5">
        <v>50</v>
      </c>
      <c r="M273" s="5">
        <f xml:space="preserve"> K273*L273</f>
        <v>100</v>
      </c>
      <c r="N273" s="14">
        <f xml:space="preserve"> M273 * $Q$3</f>
        <v>1.5</v>
      </c>
      <c r="O273" s="5"/>
    </row>
    <row r="274" spans="1:15">
      <c r="A274" s="2">
        <v>273</v>
      </c>
      <c r="B274" s="4">
        <f>DAY(E274)</f>
        <v>8</v>
      </c>
      <c r="C274" s="4">
        <f>MONTH(E274)</f>
        <v>5</v>
      </c>
      <c r="D274" s="4">
        <f>YEAR(E274)</f>
        <v>2023</v>
      </c>
      <c r="E274" s="17">
        <v>45054</v>
      </c>
      <c r="F274" s="4" t="s">
        <v>296</v>
      </c>
      <c r="G274" s="4" t="s">
        <v>19</v>
      </c>
      <c r="H274" s="4">
        <v>22</v>
      </c>
      <c r="I274" s="4" t="str" cm="1">
        <f t="array" ref="I274">_xlfn.IFS(
  H274&lt;30,"Young Adult",
  H274&lt;50,"Adult",
  H274&gt;=50,"Senior"
)</f>
        <v>Young Adult</v>
      </c>
      <c r="J274" s="4" t="s">
        <v>16</v>
      </c>
      <c r="K274" s="4">
        <v>1</v>
      </c>
      <c r="L274" s="5">
        <v>50</v>
      </c>
      <c r="M274" s="5">
        <f xml:space="preserve"> K274*L274</f>
        <v>50</v>
      </c>
      <c r="N274" s="14">
        <f xml:space="preserve"> M274 * $Q$3</f>
        <v>0.75</v>
      </c>
      <c r="O274" s="5"/>
    </row>
    <row r="275" spans="1:15">
      <c r="A275" s="2">
        <v>274</v>
      </c>
      <c r="B275" s="4">
        <f>DAY(E275)</f>
        <v>9</v>
      </c>
      <c r="C275" s="4">
        <f>MONTH(E275)</f>
        <v>4</v>
      </c>
      <c r="D275" s="4">
        <f>YEAR(E275)</f>
        <v>2023</v>
      </c>
      <c r="E275" s="17">
        <v>45025</v>
      </c>
      <c r="F275" s="4" t="s">
        <v>297</v>
      </c>
      <c r="G275" s="4" t="s">
        <v>19</v>
      </c>
      <c r="H275" s="4">
        <v>23</v>
      </c>
      <c r="I275" s="4" t="str" cm="1">
        <f t="array" ref="I275">_xlfn.IFS(
  H275&lt;30,"Young Adult",
  H275&lt;50,"Adult",
  H275&gt;=50,"Senior"
)</f>
        <v>Young Adult</v>
      </c>
      <c r="J275" s="4" t="s">
        <v>20</v>
      </c>
      <c r="K275" s="4">
        <v>2</v>
      </c>
      <c r="L275" s="5">
        <v>500</v>
      </c>
      <c r="M275" s="5">
        <f xml:space="preserve"> K275*L275</f>
        <v>1000</v>
      </c>
      <c r="N275" s="14">
        <f xml:space="preserve"> M275 * $Q$3</f>
        <v>15</v>
      </c>
      <c r="O275" s="5"/>
    </row>
    <row r="276" spans="1:15">
      <c r="A276" s="2">
        <v>275</v>
      </c>
      <c r="B276" s="4">
        <f>DAY(E276)</f>
        <v>8</v>
      </c>
      <c r="C276" s="4">
        <f>MONTH(E276)</f>
        <v>4</v>
      </c>
      <c r="D276" s="4">
        <f>YEAR(E276)</f>
        <v>2023</v>
      </c>
      <c r="E276" s="17">
        <v>45024</v>
      </c>
      <c r="F276" s="4" t="s">
        <v>298</v>
      </c>
      <c r="G276" s="4" t="s">
        <v>15</v>
      </c>
      <c r="H276" s="4">
        <v>43</v>
      </c>
      <c r="I276" s="4" t="str" cm="1">
        <f t="array" ref="I276">_xlfn.IFS(
  H276&lt;30,"Young Adult",
  H276&lt;50,"Adult",
  H276&gt;=50,"Senior"
)</f>
        <v>Adult</v>
      </c>
      <c r="J276" s="4" t="s">
        <v>20</v>
      </c>
      <c r="K276" s="4">
        <v>2</v>
      </c>
      <c r="L276" s="5">
        <v>500</v>
      </c>
      <c r="M276" s="5">
        <f xml:space="preserve"> K276*L276</f>
        <v>1000</v>
      </c>
      <c r="N276" s="14">
        <f xml:space="preserve"> M276 * $Q$3</f>
        <v>15</v>
      </c>
      <c r="O276" s="5"/>
    </row>
    <row r="277" spans="1:15">
      <c r="A277" s="2">
        <v>276</v>
      </c>
      <c r="B277" s="4">
        <f>DAY(E277)</f>
        <v>2</v>
      </c>
      <c r="C277" s="4">
        <f>MONTH(E277)</f>
        <v>10</v>
      </c>
      <c r="D277" s="4">
        <f>YEAR(E277)</f>
        <v>2023</v>
      </c>
      <c r="E277" s="3">
        <v>45201</v>
      </c>
      <c r="F277" s="4" t="s">
        <v>299</v>
      </c>
      <c r="G277" s="4" t="s">
        <v>19</v>
      </c>
      <c r="H277" s="4">
        <v>21</v>
      </c>
      <c r="I277" s="4" t="str" cm="1">
        <f t="array" ref="I277">_xlfn.IFS(
  H277&lt;30,"Young Adult",
  H277&lt;50,"Adult",
  H277&gt;=50,"Senior"
)</f>
        <v>Young Adult</v>
      </c>
      <c r="J277" s="4" t="s">
        <v>16</v>
      </c>
      <c r="K277" s="4">
        <v>4</v>
      </c>
      <c r="L277" s="5">
        <v>25</v>
      </c>
      <c r="M277" s="5">
        <f xml:space="preserve"> K277*L277</f>
        <v>100</v>
      </c>
      <c r="N277" s="14">
        <f xml:space="preserve"> M277 * $Q$3</f>
        <v>1.5</v>
      </c>
      <c r="O277" s="5"/>
    </row>
    <row r="278" spans="1:15">
      <c r="A278" s="2">
        <v>277</v>
      </c>
      <c r="B278" s="4">
        <f>DAY(E278)</f>
        <v>18</v>
      </c>
      <c r="C278" s="4">
        <f>MONTH(E278)</f>
        <v>8</v>
      </c>
      <c r="D278" s="4">
        <f>YEAR(E278)</f>
        <v>2023</v>
      </c>
      <c r="E278" s="3">
        <v>45156</v>
      </c>
      <c r="F278" s="4" t="s">
        <v>300</v>
      </c>
      <c r="G278" s="4" t="s">
        <v>15</v>
      </c>
      <c r="H278" s="4">
        <v>36</v>
      </c>
      <c r="I278" s="4" t="str" cm="1">
        <f t="array" ref="I278">_xlfn.IFS(
  H278&lt;30,"Young Adult",
  H278&lt;50,"Adult",
  H278&gt;=50,"Senior"
)</f>
        <v>Adult</v>
      </c>
      <c r="J278" s="4" t="s">
        <v>20</v>
      </c>
      <c r="K278" s="4">
        <v>4</v>
      </c>
      <c r="L278" s="5">
        <v>25</v>
      </c>
      <c r="M278" s="5">
        <f xml:space="preserve"> K278*L278</f>
        <v>100</v>
      </c>
      <c r="N278" s="14">
        <f xml:space="preserve"> M278 * $Q$3</f>
        <v>1.5</v>
      </c>
      <c r="O278" s="5"/>
    </row>
    <row r="279" spans="1:15">
      <c r="A279" s="2">
        <v>278</v>
      </c>
      <c r="B279" s="4">
        <f>DAY(E279)</f>
        <v>13</v>
      </c>
      <c r="C279" s="4">
        <f>MONTH(E279)</f>
        <v>3</v>
      </c>
      <c r="D279" s="4">
        <f>YEAR(E279)</f>
        <v>2023</v>
      </c>
      <c r="E279" s="17">
        <v>44998</v>
      </c>
      <c r="F279" s="4" t="s">
        <v>301</v>
      </c>
      <c r="G279" s="4" t="s">
        <v>19</v>
      </c>
      <c r="H279" s="4">
        <v>37</v>
      </c>
      <c r="I279" s="4" t="str" cm="1">
        <f t="array" ref="I279">_xlfn.IFS(
  H279&lt;30,"Young Adult",
  H279&lt;50,"Adult",
  H279&gt;=50,"Senior"
)</f>
        <v>Adult</v>
      </c>
      <c r="J279" s="4" t="s">
        <v>20</v>
      </c>
      <c r="K279" s="4">
        <v>4</v>
      </c>
      <c r="L279" s="5">
        <v>25</v>
      </c>
      <c r="M279" s="5">
        <f xml:space="preserve"> K279*L279</f>
        <v>100</v>
      </c>
      <c r="N279" s="14">
        <f xml:space="preserve"> M279 * $Q$3</f>
        <v>1.5</v>
      </c>
      <c r="O279" s="5"/>
    </row>
    <row r="280" spans="1:15">
      <c r="A280" s="2">
        <v>279</v>
      </c>
      <c r="B280" s="4">
        <f>DAY(E280)</f>
        <v>5</v>
      </c>
      <c r="C280" s="4">
        <f>MONTH(E280)</f>
        <v>8</v>
      </c>
      <c r="D280" s="4">
        <f>YEAR(E280)</f>
        <v>2023</v>
      </c>
      <c r="E280" s="3">
        <v>45143</v>
      </c>
      <c r="F280" s="4" t="s">
        <v>302</v>
      </c>
      <c r="G280" s="4" t="s">
        <v>15</v>
      </c>
      <c r="H280" s="4">
        <v>50</v>
      </c>
      <c r="I280" s="4" t="str" cm="1">
        <f t="array" ref="I280">_xlfn.IFS(
  H280&lt;30,"Young Adult",
  H280&lt;50,"Adult",
  H280&gt;=50,"Senior"
)</f>
        <v>Senior</v>
      </c>
      <c r="J280" s="4" t="s">
        <v>20</v>
      </c>
      <c r="K280" s="4">
        <v>1</v>
      </c>
      <c r="L280" s="5">
        <v>500</v>
      </c>
      <c r="M280" s="5">
        <f xml:space="preserve"> K280*L280</f>
        <v>500</v>
      </c>
      <c r="N280" s="14">
        <f xml:space="preserve"> M280 * $Q$3</f>
        <v>7.5</v>
      </c>
      <c r="O280" s="5"/>
    </row>
    <row r="281" spans="1:15">
      <c r="A281" s="2">
        <v>280</v>
      </c>
      <c r="B281" s="4">
        <f>DAY(E281)</f>
        <v>4</v>
      </c>
      <c r="C281" s="4">
        <f>MONTH(E281)</f>
        <v>4</v>
      </c>
      <c r="D281" s="4">
        <f>YEAR(E281)</f>
        <v>2023</v>
      </c>
      <c r="E281" s="17">
        <v>45020</v>
      </c>
      <c r="F281" s="4" t="s">
        <v>303</v>
      </c>
      <c r="G281" s="4" t="s">
        <v>19</v>
      </c>
      <c r="H281" s="4">
        <v>37</v>
      </c>
      <c r="I281" s="4" t="str" cm="1">
        <f t="array" ref="I281">_xlfn.IFS(
  H281&lt;30,"Young Adult",
  H281&lt;50,"Adult",
  H281&gt;=50,"Senior"
)</f>
        <v>Adult</v>
      </c>
      <c r="J281" s="4" t="s">
        <v>20</v>
      </c>
      <c r="K281" s="4">
        <v>3</v>
      </c>
      <c r="L281" s="5">
        <v>500</v>
      </c>
      <c r="M281" s="5">
        <f xml:space="preserve"> K281*L281</f>
        <v>1500</v>
      </c>
      <c r="N281" s="14">
        <f xml:space="preserve"> M281 * $Q$3</f>
        <v>22.5</v>
      </c>
      <c r="O281" s="5"/>
    </row>
    <row r="282" spans="1:15">
      <c r="A282" s="2">
        <v>281</v>
      </c>
      <c r="B282" s="4">
        <f>DAY(E282)</f>
        <v>23</v>
      </c>
      <c r="C282" s="4">
        <f>MONTH(E282)</f>
        <v>5</v>
      </c>
      <c r="D282" s="4">
        <f>YEAR(E282)</f>
        <v>2023</v>
      </c>
      <c r="E282" s="17">
        <v>45069</v>
      </c>
      <c r="F282" s="4" t="s">
        <v>304</v>
      </c>
      <c r="G282" s="4" t="s">
        <v>19</v>
      </c>
      <c r="H282" s="4">
        <v>29</v>
      </c>
      <c r="I282" s="4" t="str" cm="1">
        <f t="array" ref="I282">_xlfn.IFS(
  H282&lt;30,"Young Adult",
  H282&lt;50,"Adult",
  H282&gt;=50,"Senior"
)</f>
        <v>Young Adult</v>
      </c>
      <c r="J282" s="4" t="s">
        <v>16</v>
      </c>
      <c r="K282" s="4">
        <v>4</v>
      </c>
      <c r="L282" s="5">
        <v>500</v>
      </c>
      <c r="M282" s="5">
        <f xml:space="preserve"> K282*L282</f>
        <v>2000</v>
      </c>
      <c r="N282" s="14">
        <f xml:space="preserve"> M282 * $Q$3</f>
        <v>30</v>
      </c>
      <c r="O282" s="5"/>
    </row>
    <row r="283" spans="1:15">
      <c r="A283" s="2">
        <v>282</v>
      </c>
      <c r="B283" s="4">
        <f>DAY(E283)</f>
        <v>25</v>
      </c>
      <c r="C283" s="4">
        <f>MONTH(E283)</f>
        <v>8</v>
      </c>
      <c r="D283" s="4">
        <f>YEAR(E283)</f>
        <v>2023</v>
      </c>
      <c r="E283" s="3">
        <v>45163</v>
      </c>
      <c r="F283" s="4" t="s">
        <v>305</v>
      </c>
      <c r="G283" s="4" t="s">
        <v>19</v>
      </c>
      <c r="H283" s="4">
        <v>64</v>
      </c>
      <c r="I283" s="4" t="str" cm="1">
        <f t="array" ref="I283">_xlfn.IFS(
  H283&lt;30,"Young Adult",
  H283&lt;50,"Adult",
  H283&gt;=50,"Senior"
)</f>
        <v>Senior</v>
      </c>
      <c r="J283" s="4" t="s">
        <v>23</v>
      </c>
      <c r="K283" s="4">
        <v>4</v>
      </c>
      <c r="L283" s="5">
        <v>50</v>
      </c>
      <c r="M283" s="5">
        <f xml:space="preserve"> K283*L283</f>
        <v>200</v>
      </c>
      <c r="N283" s="14">
        <f xml:space="preserve"> M283 * $Q$3</f>
        <v>3</v>
      </c>
      <c r="O283" s="5"/>
    </row>
    <row r="284" spans="1:15">
      <c r="A284" s="2">
        <v>283</v>
      </c>
      <c r="B284" s="4">
        <f>DAY(E284)</f>
        <v>8</v>
      </c>
      <c r="C284" s="4">
        <f>MONTH(E284)</f>
        <v>5</v>
      </c>
      <c r="D284" s="4">
        <f>YEAR(E284)</f>
        <v>2023</v>
      </c>
      <c r="E284" s="17">
        <v>45054</v>
      </c>
      <c r="F284" s="4" t="s">
        <v>306</v>
      </c>
      <c r="G284" s="4" t="s">
        <v>19</v>
      </c>
      <c r="H284" s="4">
        <v>18</v>
      </c>
      <c r="I284" s="4" t="str" cm="1">
        <f t="array" ref="I284">_xlfn.IFS(
  H284&lt;30,"Young Adult",
  H284&lt;50,"Adult",
  H284&gt;=50,"Senior"
)</f>
        <v>Young Adult</v>
      </c>
      <c r="J284" s="4" t="s">
        <v>23</v>
      </c>
      <c r="K284" s="4">
        <v>1</v>
      </c>
      <c r="L284" s="5">
        <v>500</v>
      </c>
      <c r="M284" s="5">
        <f xml:space="preserve"> K284*L284</f>
        <v>500</v>
      </c>
      <c r="N284" s="14">
        <f xml:space="preserve"> M284 * $Q$3</f>
        <v>7.5</v>
      </c>
      <c r="O284" s="5"/>
    </row>
    <row r="285" spans="1:15">
      <c r="A285" s="2">
        <v>284</v>
      </c>
      <c r="B285" s="4">
        <f>DAY(E285)</f>
        <v>8</v>
      </c>
      <c r="C285" s="4">
        <f>MONTH(E285)</f>
        <v>2</v>
      </c>
      <c r="D285" s="4">
        <f>YEAR(E285)</f>
        <v>2023</v>
      </c>
      <c r="E285" s="3">
        <v>44965</v>
      </c>
      <c r="F285" s="4" t="s">
        <v>307</v>
      </c>
      <c r="G285" s="4" t="s">
        <v>15</v>
      </c>
      <c r="H285" s="4">
        <v>43</v>
      </c>
      <c r="I285" s="4" t="str" cm="1">
        <f t="array" ref="I285">_xlfn.IFS(
  H285&lt;30,"Young Adult",
  H285&lt;50,"Adult",
  H285&gt;=50,"Senior"
)</f>
        <v>Adult</v>
      </c>
      <c r="J285" s="4" t="s">
        <v>20</v>
      </c>
      <c r="K285" s="4">
        <v>4</v>
      </c>
      <c r="L285" s="5">
        <v>50</v>
      </c>
      <c r="M285" s="5">
        <f xml:space="preserve"> K285*L285</f>
        <v>200</v>
      </c>
      <c r="N285" s="14">
        <f xml:space="preserve"> M285 * $Q$3</f>
        <v>3</v>
      </c>
      <c r="O285" s="5"/>
    </row>
    <row r="286" spans="1:15">
      <c r="A286" s="2">
        <v>285</v>
      </c>
      <c r="B286" s="4">
        <f>DAY(E286)</f>
        <v>15</v>
      </c>
      <c r="C286" s="4">
        <f>MONTH(E286)</f>
        <v>8</v>
      </c>
      <c r="D286" s="4">
        <f>YEAR(E286)</f>
        <v>2023</v>
      </c>
      <c r="E286" s="3">
        <v>45153</v>
      </c>
      <c r="F286" s="4" t="s">
        <v>308</v>
      </c>
      <c r="G286" s="4" t="s">
        <v>19</v>
      </c>
      <c r="H286" s="4">
        <v>31</v>
      </c>
      <c r="I286" s="4" t="str" cm="1">
        <f t="array" ref="I286">_xlfn.IFS(
  H286&lt;30,"Young Adult",
  H286&lt;50,"Adult",
  H286&gt;=50,"Senior"
)</f>
        <v>Adult</v>
      </c>
      <c r="J286" s="4" t="s">
        <v>23</v>
      </c>
      <c r="K286" s="4">
        <v>1</v>
      </c>
      <c r="L286" s="5">
        <v>25</v>
      </c>
      <c r="M286" s="5">
        <f xml:space="preserve"> K286*L286</f>
        <v>25</v>
      </c>
      <c r="N286" s="14">
        <f xml:space="preserve"> M286 * $Q$3</f>
        <v>0.375</v>
      </c>
      <c r="O286" s="5"/>
    </row>
    <row r="287" spans="1:15">
      <c r="A287" s="2">
        <v>286</v>
      </c>
      <c r="B287" s="4">
        <f>DAY(E287)</f>
        <v>9</v>
      </c>
      <c r="C287" s="4">
        <f>MONTH(E287)</f>
        <v>10</v>
      </c>
      <c r="D287" s="4">
        <f>YEAR(E287)</f>
        <v>2023</v>
      </c>
      <c r="E287" s="3">
        <v>45208</v>
      </c>
      <c r="F287" s="4" t="s">
        <v>309</v>
      </c>
      <c r="G287" s="4" t="s">
        <v>15</v>
      </c>
      <c r="H287" s="4">
        <v>55</v>
      </c>
      <c r="I287" s="4" t="str" cm="1">
        <f t="array" ref="I287">_xlfn.IFS(
  H287&lt;30,"Young Adult",
  H287&lt;50,"Adult",
  H287&gt;=50,"Senior"
)</f>
        <v>Senior</v>
      </c>
      <c r="J287" s="4" t="s">
        <v>23</v>
      </c>
      <c r="K287" s="4">
        <v>2</v>
      </c>
      <c r="L287" s="5">
        <v>25</v>
      </c>
      <c r="M287" s="5">
        <f xml:space="preserve"> K287*L287</f>
        <v>50</v>
      </c>
      <c r="N287" s="14">
        <f xml:space="preserve"> M287 * $Q$3</f>
        <v>0.75</v>
      </c>
      <c r="O287" s="5"/>
    </row>
    <row r="288" spans="1:15">
      <c r="A288" s="2">
        <v>287</v>
      </c>
      <c r="B288" s="4">
        <f>DAY(E288)</f>
        <v>20</v>
      </c>
      <c r="C288" s="4">
        <f>MONTH(E288)</f>
        <v>2</v>
      </c>
      <c r="D288" s="4">
        <f>YEAR(E288)</f>
        <v>2023</v>
      </c>
      <c r="E288" s="3">
        <v>44977</v>
      </c>
      <c r="F288" s="4" t="s">
        <v>310</v>
      </c>
      <c r="G288" s="4" t="s">
        <v>15</v>
      </c>
      <c r="H288" s="4">
        <v>54</v>
      </c>
      <c r="I288" s="4" t="str" cm="1">
        <f t="array" ref="I288">_xlfn.IFS(
  H288&lt;30,"Young Adult",
  H288&lt;50,"Adult",
  H288&gt;=50,"Senior"
)</f>
        <v>Senior</v>
      </c>
      <c r="J288" s="4" t="s">
        <v>20</v>
      </c>
      <c r="K288" s="4">
        <v>4</v>
      </c>
      <c r="L288" s="5">
        <v>25</v>
      </c>
      <c r="M288" s="5">
        <f xml:space="preserve"> K288*L288</f>
        <v>100</v>
      </c>
      <c r="N288" s="14">
        <f xml:space="preserve"> M288 * $Q$3</f>
        <v>1.5</v>
      </c>
      <c r="O288" s="5"/>
    </row>
    <row r="289" spans="1:15">
      <c r="A289" s="2">
        <v>288</v>
      </c>
      <c r="B289" s="4">
        <f>DAY(E289)</f>
        <v>26</v>
      </c>
      <c r="C289" s="4">
        <f>MONTH(E289)</f>
        <v>1</v>
      </c>
      <c r="D289" s="4">
        <f>YEAR(E289)</f>
        <v>2023</v>
      </c>
      <c r="E289" s="3">
        <v>44952</v>
      </c>
      <c r="F289" s="4" t="s">
        <v>311</v>
      </c>
      <c r="G289" s="4" t="s">
        <v>15</v>
      </c>
      <c r="H289" s="4">
        <v>28</v>
      </c>
      <c r="I289" s="4" t="str" cm="1">
        <f t="array" ref="I289">_xlfn.IFS(
  H289&lt;30,"Young Adult",
  H289&lt;50,"Adult",
  H289&gt;=50,"Senior"
)</f>
        <v>Young Adult</v>
      </c>
      <c r="J289" s="4" t="s">
        <v>20</v>
      </c>
      <c r="K289" s="4">
        <v>4</v>
      </c>
      <c r="L289" s="5">
        <v>30</v>
      </c>
      <c r="M289" s="5">
        <f xml:space="preserve"> K289*L289</f>
        <v>120</v>
      </c>
      <c r="N289" s="14">
        <f xml:space="preserve"> M289 * $Q$3</f>
        <v>1.7999999999999998</v>
      </c>
      <c r="O289" s="5"/>
    </row>
    <row r="290" spans="1:15">
      <c r="A290" s="2">
        <v>289</v>
      </c>
      <c r="B290" s="4">
        <f>DAY(E290)</f>
        <v>30</v>
      </c>
      <c r="C290" s="4">
        <f>MONTH(E290)</f>
        <v>11</v>
      </c>
      <c r="D290" s="4">
        <f>YEAR(E290)</f>
        <v>2023</v>
      </c>
      <c r="E290" s="3">
        <v>45260</v>
      </c>
      <c r="F290" s="4" t="s">
        <v>312</v>
      </c>
      <c r="G290" s="4" t="s">
        <v>15</v>
      </c>
      <c r="H290" s="4">
        <v>53</v>
      </c>
      <c r="I290" s="4" t="str" cm="1">
        <f t="array" ref="I290">_xlfn.IFS(
  H290&lt;30,"Young Adult",
  H290&lt;50,"Adult",
  H290&gt;=50,"Senior"
)</f>
        <v>Senior</v>
      </c>
      <c r="J290" s="4" t="s">
        <v>23</v>
      </c>
      <c r="K290" s="4">
        <v>2</v>
      </c>
      <c r="L290" s="5">
        <v>30</v>
      </c>
      <c r="M290" s="5">
        <f xml:space="preserve"> K290*L290</f>
        <v>60</v>
      </c>
      <c r="N290" s="14">
        <f xml:space="preserve"> M290 * $Q$3</f>
        <v>0.89999999999999991</v>
      </c>
      <c r="O290" s="5"/>
    </row>
    <row r="291" spans="1:15">
      <c r="A291" s="2">
        <v>290</v>
      </c>
      <c r="B291" s="4">
        <f>DAY(E291)</f>
        <v>4</v>
      </c>
      <c r="C291" s="4">
        <f>MONTH(E291)</f>
        <v>10</v>
      </c>
      <c r="D291" s="4">
        <f>YEAR(E291)</f>
        <v>2023</v>
      </c>
      <c r="E291" s="3">
        <v>45203</v>
      </c>
      <c r="F291" s="4" t="s">
        <v>313</v>
      </c>
      <c r="G291" s="4" t="s">
        <v>19</v>
      </c>
      <c r="H291" s="4">
        <v>30</v>
      </c>
      <c r="I291" s="4" t="str" cm="1">
        <f t="array" ref="I291">_xlfn.IFS(
  H291&lt;30,"Young Adult",
  H291&lt;50,"Adult",
  H291&gt;=50,"Senior"
)</f>
        <v>Adult</v>
      </c>
      <c r="J291" s="4" t="s">
        <v>16</v>
      </c>
      <c r="K291" s="4">
        <v>2</v>
      </c>
      <c r="L291" s="5">
        <v>300</v>
      </c>
      <c r="M291" s="5">
        <f xml:space="preserve"> K291*L291</f>
        <v>600</v>
      </c>
      <c r="N291" s="14">
        <f xml:space="preserve"> M291 * $Q$3</f>
        <v>9</v>
      </c>
      <c r="O291" s="5"/>
    </row>
    <row r="292" spans="1:15">
      <c r="A292" s="2">
        <v>291</v>
      </c>
      <c r="B292" s="4">
        <f>DAY(E292)</f>
        <v>8</v>
      </c>
      <c r="C292" s="4">
        <f>MONTH(E292)</f>
        <v>1</v>
      </c>
      <c r="D292" s="4">
        <f>YEAR(E292)</f>
        <v>2023</v>
      </c>
      <c r="E292" s="3">
        <v>44934</v>
      </c>
      <c r="F292" s="4" t="s">
        <v>314</v>
      </c>
      <c r="G292" s="4" t="s">
        <v>15</v>
      </c>
      <c r="H292" s="4">
        <v>60</v>
      </c>
      <c r="I292" s="4" t="str" cm="1">
        <f t="array" ref="I292">_xlfn.IFS(
  H292&lt;30,"Young Adult",
  H292&lt;50,"Adult",
  H292&gt;=50,"Senior"
)</f>
        <v>Senior</v>
      </c>
      <c r="J292" s="4" t="s">
        <v>20</v>
      </c>
      <c r="K292" s="4">
        <v>2</v>
      </c>
      <c r="L292" s="5">
        <v>300</v>
      </c>
      <c r="M292" s="5">
        <f xml:space="preserve"> K292*L292</f>
        <v>600</v>
      </c>
      <c r="N292" s="14">
        <f xml:space="preserve"> M292 * $Q$3</f>
        <v>9</v>
      </c>
      <c r="O292" s="5"/>
    </row>
    <row r="293" spans="1:15">
      <c r="A293" s="2">
        <v>292</v>
      </c>
      <c r="B293" s="4">
        <f>DAY(E293)</f>
        <v>17</v>
      </c>
      <c r="C293" s="4">
        <f>MONTH(E293)</f>
        <v>2</v>
      </c>
      <c r="D293" s="4">
        <f>YEAR(E293)</f>
        <v>2023</v>
      </c>
      <c r="E293" s="3">
        <v>44974</v>
      </c>
      <c r="F293" s="4" t="s">
        <v>315</v>
      </c>
      <c r="G293" s="4" t="s">
        <v>15</v>
      </c>
      <c r="H293" s="4">
        <v>20</v>
      </c>
      <c r="I293" s="4" t="str" cm="1">
        <f t="array" ref="I293">_xlfn.IFS(
  H293&lt;30,"Young Adult",
  H293&lt;50,"Adult",
  H293&gt;=50,"Senior"
)</f>
        <v>Young Adult</v>
      </c>
      <c r="J293" s="4" t="s">
        <v>16</v>
      </c>
      <c r="K293" s="4">
        <v>4</v>
      </c>
      <c r="L293" s="5">
        <v>300</v>
      </c>
      <c r="M293" s="5">
        <f xml:space="preserve"> K293*L293</f>
        <v>1200</v>
      </c>
      <c r="N293" s="14">
        <f xml:space="preserve"> M293 * $Q$3</f>
        <v>18</v>
      </c>
      <c r="O293" s="5"/>
    </row>
    <row r="294" spans="1:15">
      <c r="A294" s="2">
        <v>293</v>
      </c>
      <c r="B294" s="4">
        <f>DAY(E294)</f>
        <v>2</v>
      </c>
      <c r="C294" s="4">
        <f>MONTH(E294)</f>
        <v>5</v>
      </c>
      <c r="D294" s="4">
        <f>YEAR(E294)</f>
        <v>2023</v>
      </c>
      <c r="E294" s="17">
        <v>45048</v>
      </c>
      <c r="F294" s="4" t="s">
        <v>316</v>
      </c>
      <c r="G294" s="4" t="s">
        <v>15</v>
      </c>
      <c r="H294" s="4">
        <v>50</v>
      </c>
      <c r="I294" s="4" t="str" cm="1">
        <f t="array" ref="I294">_xlfn.IFS(
  H294&lt;30,"Young Adult",
  H294&lt;50,"Adult",
  H294&gt;=50,"Senior"
)</f>
        <v>Senior</v>
      </c>
      <c r="J294" s="4" t="s">
        <v>23</v>
      </c>
      <c r="K294" s="4">
        <v>3</v>
      </c>
      <c r="L294" s="5">
        <v>30</v>
      </c>
      <c r="M294" s="5">
        <f xml:space="preserve"> K294*L294</f>
        <v>90</v>
      </c>
      <c r="N294" s="14">
        <f xml:space="preserve"> M294 * $Q$3</f>
        <v>1.3499999999999999</v>
      </c>
      <c r="O294" s="5"/>
    </row>
    <row r="295" spans="1:15">
      <c r="A295" s="2">
        <v>294</v>
      </c>
      <c r="B295" s="4">
        <f>DAY(E295)</f>
        <v>27</v>
      </c>
      <c r="C295" s="4">
        <f>MONTH(E295)</f>
        <v>3</v>
      </c>
      <c r="D295" s="4">
        <f>YEAR(E295)</f>
        <v>2023</v>
      </c>
      <c r="E295" s="17">
        <v>45012</v>
      </c>
      <c r="F295" s="4" t="s">
        <v>317</v>
      </c>
      <c r="G295" s="4" t="s">
        <v>19</v>
      </c>
      <c r="H295" s="4">
        <v>23</v>
      </c>
      <c r="I295" s="4" t="str" cm="1">
        <f t="array" ref="I295">_xlfn.IFS(
  H295&lt;30,"Young Adult",
  H295&lt;50,"Adult",
  H295&gt;=50,"Senior"
)</f>
        <v>Young Adult</v>
      </c>
      <c r="J295" s="4" t="s">
        <v>20</v>
      </c>
      <c r="K295" s="4">
        <v>3</v>
      </c>
      <c r="L295" s="5">
        <v>30</v>
      </c>
      <c r="M295" s="5">
        <f xml:space="preserve"> K295*L295</f>
        <v>90</v>
      </c>
      <c r="N295" s="14">
        <f xml:space="preserve"> M295 * $Q$3</f>
        <v>1.3499999999999999</v>
      </c>
      <c r="O295" s="5"/>
    </row>
    <row r="296" spans="1:15">
      <c r="A296" s="2">
        <v>295</v>
      </c>
      <c r="B296" s="4">
        <f>DAY(E296)</f>
        <v>28</v>
      </c>
      <c r="C296" s="4">
        <f>MONTH(E296)</f>
        <v>7</v>
      </c>
      <c r="D296" s="4">
        <f>YEAR(E296)</f>
        <v>2023</v>
      </c>
      <c r="E296" s="3">
        <v>45135</v>
      </c>
      <c r="F296" s="4" t="s">
        <v>318</v>
      </c>
      <c r="G296" s="4" t="s">
        <v>19</v>
      </c>
      <c r="H296" s="4">
        <v>27</v>
      </c>
      <c r="I296" s="4" t="str" cm="1">
        <f t="array" ref="I296">_xlfn.IFS(
  H296&lt;30,"Young Adult",
  H296&lt;50,"Adult",
  H296&gt;=50,"Senior"
)</f>
        <v>Young Adult</v>
      </c>
      <c r="J296" s="4" t="s">
        <v>16</v>
      </c>
      <c r="K296" s="4">
        <v>3</v>
      </c>
      <c r="L296" s="5">
        <v>300</v>
      </c>
      <c r="M296" s="5">
        <f xml:space="preserve"> K296*L296</f>
        <v>900</v>
      </c>
      <c r="N296" s="14">
        <f xml:space="preserve"> M296 * $Q$3</f>
        <v>13.5</v>
      </c>
      <c r="O296" s="5"/>
    </row>
    <row r="297" spans="1:15">
      <c r="A297" s="2">
        <v>296</v>
      </c>
      <c r="B297" s="4">
        <f>DAY(E297)</f>
        <v>6</v>
      </c>
      <c r="C297" s="4">
        <f>MONTH(E297)</f>
        <v>9</v>
      </c>
      <c r="D297" s="4">
        <f>YEAR(E297)</f>
        <v>2023</v>
      </c>
      <c r="E297" s="3">
        <v>45175</v>
      </c>
      <c r="F297" s="4" t="s">
        <v>319</v>
      </c>
      <c r="G297" s="4" t="s">
        <v>19</v>
      </c>
      <c r="H297" s="4">
        <v>22</v>
      </c>
      <c r="I297" s="4" t="str" cm="1">
        <f t="array" ref="I297">_xlfn.IFS(
  H297&lt;30,"Young Adult",
  H297&lt;50,"Adult",
  H297&gt;=50,"Senior"
)</f>
        <v>Young Adult</v>
      </c>
      <c r="J297" s="4" t="s">
        <v>20</v>
      </c>
      <c r="K297" s="4">
        <v>4</v>
      </c>
      <c r="L297" s="5">
        <v>300</v>
      </c>
      <c r="M297" s="5">
        <f xml:space="preserve"> K297*L297</f>
        <v>1200</v>
      </c>
      <c r="N297" s="14">
        <f xml:space="preserve"> M297 * $Q$3</f>
        <v>18</v>
      </c>
      <c r="O297" s="5"/>
    </row>
    <row r="298" spans="1:15">
      <c r="A298" s="2">
        <v>297</v>
      </c>
      <c r="B298" s="4">
        <f>DAY(E298)</f>
        <v>4</v>
      </c>
      <c r="C298" s="4">
        <f>MONTH(E298)</f>
        <v>9</v>
      </c>
      <c r="D298" s="4">
        <f>YEAR(E298)</f>
        <v>2023</v>
      </c>
      <c r="E298" s="3">
        <v>45173</v>
      </c>
      <c r="F298" s="4" t="s">
        <v>320</v>
      </c>
      <c r="G298" s="4" t="s">
        <v>19</v>
      </c>
      <c r="H298" s="4">
        <v>40</v>
      </c>
      <c r="I298" s="4" t="str" cm="1">
        <f t="array" ref="I298">_xlfn.IFS(
  H298&lt;30,"Young Adult",
  H298&lt;50,"Adult",
  H298&gt;=50,"Senior"
)</f>
        <v>Adult</v>
      </c>
      <c r="J298" s="4" t="s">
        <v>23</v>
      </c>
      <c r="K298" s="4">
        <v>2</v>
      </c>
      <c r="L298" s="5">
        <v>500</v>
      </c>
      <c r="M298" s="5">
        <f xml:space="preserve"> K298*L298</f>
        <v>1000</v>
      </c>
      <c r="N298" s="14">
        <f xml:space="preserve"> M298 * $Q$3</f>
        <v>15</v>
      </c>
      <c r="O298" s="5"/>
    </row>
    <row r="299" spans="1:15">
      <c r="A299" s="2">
        <v>298</v>
      </c>
      <c r="B299" s="4">
        <f>DAY(E299)</f>
        <v>20</v>
      </c>
      <c r="C299" s="4">
        <f>MONTH(E299)</f>
        <v>4</v>
      </c>
      <c r="D299" s="4">
        <f>YEAR(E299)</f>
        <v>2023</v>
      </c>
      <c r="E299" s="17">
        <v>45036</v>
      </c>
      <c r="F299" s="4" t="s">
        <v>321</v>
      </c>
      <c r="G299" s="4" t="s">
        <v>15</v>
      </c>
      <c r="H299" s="4">
        <v>27</v>
      </c>
      <c r="I299" s="4" t="str" cm="1">
        <f t="array" ref="I299">_xlfn.IFS(
  H299&lt;30,"Young Adult",
  H299&lt;50,"Adult",
  H299&gt;=50,"Senior"
)</f>
        <v>Young Adult</v>
      </c>
      <c r="J299" s="4" t="s">
        <v>16</v>
      </c>
      <c r="K299" s="4">
        <v>4</v>
      </c>
      <c r="L299" s="5">
        <v>300</v>
      </c>
      <c r="M299" s="5">
        <f xml:space="preserve"> K299*L299</f>
        <v>1200</v>
      </c>
      <c r="N299" s="14">
        <f xml:space="preserve"> M299 * $Q$3</f>
        <v>18</v>
      </c>
      <c r="O299" s="5"/>
    </row>
    <row r="300" spans="1:15">
      <c r="A300" s="2">
        <v>299</v>
      </c>
      <c r="B300" s="4">
        <f>DAY(E300)</f>
        <v>25</v>
      </c>
      <c r="C300" s="4">
        <f>MONTH(E300)</f>
        <v>7</v>
      </c>
      <c r="D300" s="4">
        <f>YEAR(E300)</f>
        <v>2023</v>
      </c>
      <c r="E300" s="3">
        <v>45132</v>
      </c>
      <c r="F300" s="4" t="s">
        <v>322</v>
      </c>
      <c r="G300" s="4" t="s">
        <v>15</v>
      </c>
      <c r="H300" s="4">
        <v>61</v>
      </c>
      <c r="I300" s="4" t="str" cm="1">
        <f t="array" ref="I300">_xlfn.IFS(
  H300&lt;30,"Young Adult",
  H300&lt;50,"Adult",
  H300&gt;=50,"Senior"
)</f>
        <v>Senior</v>
      </c>
      <c r="J300" s="4" t="s">
        <v>23</v>
      </c>
      <c r="K300" s="4">
        <v>2</v>
      </c>
      <c r="L300" s="5">
        <v>500</v>
      </c>
      <c r="M300" s="5">
        <f xml:space="preserve"> K300*L300</f>
        <v>1000</v>
      </c>
      <c r="N300" s="14">
        <f xml:space="preserve"> M300 * $Q$3</f>
        <v>15</v>
      </c>
      <c r="O300" s="5"/>
    </row>
    <row r="301" spans="1:15">
      <c r="A301" s="2">
        <v>300</v>
      </c>
      <c r="B301" s="4">
        <f>DAY(E301)</f>
        <v>31</v>
      </c>
      <c r="C301" s="4">
        <f>MONTH(E301)</f>
        <v>1</v>
      </c>
      <c r="D301" s="4">
        <f>YEAR(E301)</f>
        <v>2023</v>
      </c>
      <c r="E301" s="3">
        <v>44957</v>
      </c>
      <c r="F301" s="4" t="s">
        <v>323</v>
      </c>
      <c r="G301" s="4" t="s">
        <v>19</v>
      </c>
      <c r="H301" s="4">
        <v>19</v>
      </c>
      <c r="I301" s="4" t="str" cm="1">
        <f t="array" ref="I301">_xlfn.IFS(
  H301&lt;30,"Young Adult",
  H301&lt;50,"Adult",
  H301&gt;=50,"Senior"
)</f>
        <v>Young Adult</v>
      </c>
      <c r="J301" s="4" t="s">
        <v>23</v>
      </c>
      <c r="K301" s="4">
        <v>4</v>
      </c>
      <c r="L301" s="5">
        <v>50</v>
      </c>
      <c r="M301" s="5">
        <f xml:space="preserve"> K301*L301</f>
        <v>200</v>
      </c>
      <c r="N301" s="14">
        <f xml:space="preserve"> M301 * $Q$3</f>
        <v>3</v>
      </c>
      <c r="O301" s="5"/>
    </row>
    <row r="302" spans="1:15">
      <c r="A302" s="2">
        <v>301</v>
      </c>
      <c r="B302" s="4">
        <f>DAY(E302)</f>
        <v>26</v>
      </c>
      <c r="C302" s="4">
        <f>MONTH(E302)</f>
        <v>3</v>
      </c>
      <c r="D302" s="4">
        <f>YEAR(E302)</f>
        <v>2023</v>
      </c>
      <c r="E302" s="17">
        <v>45011</v>
      </c>
      <c r="F302" s="4" t="s">
        <v>324</v>
      </c>
      <c r="G302" s="4" t="s">
        <v>15</v>
      </c>
      <c r="H302" s="4">
        <v>30</v>
      </c>
      <c r="I302" s="4" t="str" cm="1">
        <f t="array" ref="I302">_xlfn.IFS(
  H302&lt;30,"Young Adult",
  H302&lt;50,"Adult",
  H302&gt;=50,"Senior"
)</f>
        <v>Adult</v>
      </c>
      <c r="J302" s="4" t="s">
        <v>20</v>
      </c>
      <c r="K302" s="4">
        <v>4</v>
      </c>
      <c r="L302" s="5">
        <v>30</v>
      </c>
      <c r="M302" s="5">
        <f xml:space="preserve"> K302*L302</f>
        <v>120</v>
      </c>
      <c r="N302" s="14">
        <f xml:space="preserve"> M302 * $Q$3</f>
        <v>1.7999999999999998</v>
      </c>
      <c r="O302" s="5"/>
    </row>
    <row r="303" spans="1:15">
      <c r="A303" s="2">
        <v>302</v>
      </c>
      <c r="B303" s="4">
        <f>DAY(E303)</f>
        <v>14</v>
      </c>
      <c r="C303" s="4">
        <f>MONTH(E303)</f>
        <v>7</v>
      </c>
      <c r="D303" s="4">
        <f>YEAR(E303)</f>
        <v>2023</v>
      </c>
      <c r="E303" s="3">
        <v>45121</v>
      </c>
      <c r="F303" s="4" t="s">
        <v>325</v>
      </c>
      <c r="G303" s="4" t="s">
        <v>15</v>
      </c>
      <c r="H303" s="4">
        <v>57</v>
      </c>
      <c r="I303" s="4" t="str" cm="1">
        <f t="array" ref="I303">_xlfn.IFS(
  H303&lt;30,"Young Adult",
  H303&lt;50,"Adult",
  H303&gt;=50,"Senior"
)</f>
        <v>Senior</v>
      </c>
      <c r="J303" s="4" t="s">
        <v>16</v>
      </c>
      <c r="K303" s="4">
        <v>2</v>
      </c>
      <c r="L303" s="5">
        <v>300</v>
      </c>
      <c r="M303" s="5">
        <f xml:space="preserve"> K303*L303</f>
        <v>600</v>
      </c>
      <c r="N303" s="14">
        <f xml:space="preserve"> M303 * $Q$3</f>
        <v>9</v>
      </c>
      <c r="O303" s="5"/>
    </row>
    <row r="304" spans="1:15">
      <c r="A304" s="2">
        <v>303</v>
      </c>
      <c r="B304" s="4">
        <f>DAY(E304)</f>
        <v>2</v>
      </c>
      <c r="C304" s="4">
        <f>MONTH(E304)</f>
        <v>1</v>
      </c>
      <c r="D304" s="4">
        <f>YEAR(E304)</f>
        <v>2023</v>
      </c>
      <c r="E304" s="3">
        <v>44928</v>
      </c>
      <c r="F304" s="4" t="s">
        <v>326</v>
      </c>
      <c r="G304" s="4" t="s">
        <v>15</v>
      </c>
      <c r="H304" s="4">
        <v>19</v>
      </c>
      <c r="I304" s="4" t="str" cm="1">
        <f t="array" ref="I304">_xlfn.IFS(
  H304&lt;30,"Young Adult",
  H304&lt;50,"Adult",
  H304&gt;=50,"Senior"
)</f>
        <v>Young Adult</v>
      </c>
      <c r="J304" s="4" t="s">
        <v>23</v>
      </c>
      <c r="K304" s="4">
        <v>3</v>
      </c>
      <c r="L304" s="5">
        <v>30</v>
      </c>
      <c r="M304" s="5">
        <f xml:space="preserve"> K304*L304</f>
        <v>90</v>
      </c>
      <c r="N304" s="14">
        <f xml:space="preserve"> M304 * $Q$3</f>
        <v>1.3499999999999999</v>
      </c>
      <c r="O304" s="5"/>
    </row>
    <row r="305" spans="1:15">
      <c r="A305" s="2">
        <v>304</v>
      </c>
      <c r="B305" s="4">
        <f>DAY(E305)</f>
        <v>19</v>
      </c>
      <c r="C305" s="4">
        <f>MONTH(E305)</f>
        <v>7</v>
      </c>
      <c r="D305" s="4">
        <f>YEAR(E305)</f>
        <v>2023</v>
      </c>
      <c r="E305" s="3">
        <v>45126</v>
      </c>
      <c r="F305" s="4" t="s">
        <v>327</v>
      </c>
      <c r="G305" s="4" t="s">
        <v>19</v>
      </c>
      <c r="H305" s="4">
        <v>37</v>
      </c>
      <c r="I305" s="4" t="str" cm="1">
        <f t="array" ref="I305">_xlfn.IFS(
  H305&lt;30,"Young Adult",
  H305&lt;50,"Adult",
  H305&gt;=50,"Senior"
)</f>
        <v>Adult</v>
      </c>
      <c r="J305" s="4" t="s">
        <v>23</v>
      </c>
      <c r="K305" s="4">
        <v>2</v>
      </c>
      <c r="L305" s="5">
        <v>30</v>
      </c>
      <c r="M305" s="5">
        <f xml:space="preserve"> K305*L305</f>
        <v>60</v>
      </c>
      <c r="N305" s="14">
        <f xml:space="preserve"> M305 * $Q$3</f>
        <v>0.89999999999999991</v>
      </c>
      <c r="O305" s="5"/>
    </row>
    <row r="306" spans="1:15">
      <c r="A306" s="2">
        <v>305</v>
      </c>
      <c r="B306" s="4">
        <f>DAY(E306)</f>
        <v>16</v>
      </c>
      <c r="C306" s="4">
        <f>MONTH(E306)</f>
        <v>5</v>
      </c>
      <c r="D306" s="4">
        <f>YEAR(E306)</f>
        <v>2023</v>
      </c>
      <c r="E306" s="17">
        <v>45062</v>
      </c>
      <c r="F306" s="4" t="s">
        <v>328</v>
      </c>
      <c r="G306" s="4" t="s">
        <v>19</v>
      </c>
      <c r="H306" s="4">
        <v>18</v>
      </c>
      <c r="I306" s="4" t="str" cm="1">
        <f t="array" ref="I306">_xlfn.IFS(
  H306&lt;30,"Young Adult",
  H306&lt;50,"Adult",
  H306&gt;=50,"Senior"
)</f>
        <v>Young Adult</v>
      </c>
      <c r="J306" s="4" t="s">
        <v>16</v>
      </c>
      <c r="K306" s="4">
        <v>1</v>
      </c>
      <c r="L306" s="5">
        <v>30</v>
      </c>
      <c r="M306" s="5">
        <f xml:space="preserve"> K306*L306</f>
        <v>30</v>
      </c>
      <c r="N306" s="14">
        <f xml:space="preserve"> M306 * $Q$3</f>
        <v>0.44999999999999996</v>
      </c>
      <c r="O306" s="5"/>
    </row>
    <row r="307" spans="1:15">
      <c r="A307" s="2">
        <v>306</v>
      </c>
      <c r="B307" s="4">
        <f>DAY(E307)</f>
        <v>21</v>
      </c>
      <c r="C307" s="4">
        <f>MONTH(E307)</f>
        <v>8</v>
      </c>
      <c r="D307" s="4">
        <f>YEAR(E307)</f>
        <v>2023</v>
      </c>
      <c r="E307" s="3">
        <v>45159</v>
      </c>
      <c r="F307" s="4" t="s">
        <v>329</v>
      </c>
      <c r="G307" s="4" t="s">
        <v>15</v>
      </c>
      <c r="H307" s="4">
        <v>54</v>
      </c>
      <c r="I307" s="4" t="str" cm="1">
        <f t="array" ref="I307">_xlfn.IFS(
  H307&lt;30,"Young Adult",
  H307&lt;50,"Adult",
  H307&gt;=50,"Senior"
)</f>
        <v>Senior</v>
      </c>
      <c r="J307" s="4" t="s">
        <v>23</v>
      </c>
      <c r="K307" s="4">
        <v>1</v>
      </c>
      <c r="L307" s="5">
        <v>50</v>
      </c>
      <c r="M307" s="5">
        <f xml:space="preserve"> K307*L307</f>
        <v>50</v>
      </c>
      <c r="N307" s="14">
        <f xml:space="preserve"> M307 * $Q$3</f>
        <v>0.75</v>
      </c>
      <c r="O307" s="5"/>
    </row>
    <row r="308" spans="1:15">
      <c r="A308" s="2">
        <v>307</v>
      </c>
      <c r="B308" s="4">
        <f>DAY(E308)</f>
        <v>27</v>
      </c>
      <c r="C308" s="4">
        <f>MONTH(E308)</f>
        <v>5</v>
      </c>
      <c r="D308" s="4">
        <f>YEAR(E308)</f>
        <v>2023</v>
      </c>
      <c r="E308" s="17">
        <v>45073</v>
      </c>
      <c r="F308" s="4" t="s">
        <v>330</v>
      </c>
      <c r="G308" s="4" t="s">
        <v>19</v>
      </c>
      <c r="H308" s="4">
        <v>26</v>
      </c>
      <c r="I308" s="4" t="str" cm="1">
        <f t="array" ref="I308">_xlfn.IFS(
  H308&lt;30,"Young Adult",
  H308&lt;50,"Adult",
  H308&gt;=50,"Senior"
)</f>
        <v>Young Adult</v>
      </c>
      <c r="J308" s="4" t="s">
        <v>23</v>
      </c>
      <c r="K308" s="4">
        <v>2</v>
      </c>
      <c r="L308" s="5">
        <v>25</v>
      </c>
      <c r="M308" s="5">
        <f xml:space="preserve"> K308*L308</f>
        <v>50</v>
      </c>
      <c r="N308" s="14">
        <f xml:space="preserve"> M308 * $Q$3</f>
        <v>0.75</v>
      </c>
      <c r="O308" s="5"/>
    </row>
    <row r="309" spans="1:15">
      <c r="A309" s="2">
        <v>308</v>
      </c>
      <c r="B309" s="4">
        <f>DAY(E309)</f>
        <v>5</v>
      </c>
      <c r="C309" s="4">
        <f>MONTH(E309)</f>
        <v>8</v>
      </c>
      <c r="D309" s="4">
        <f>YEAR(E309)</f>
        <v>2023</v>
      </c>
      <c r="E309" s="3">
        <v>45143</v>
      </c>
      <c r="F309" s="4" t="s">
        <v>331</v>
      </c>
      <c r="G309" s="4" t="s">
        <v>19</v>
      </c>
      <c r="H309" s="4">
        <v>34</v>
      </c>
      <c r="I309" s="4" t="str" cm="1">
        <f t="array" ref="I309">_xlfn.IFS(
  H309&lt;30,"Young Adult",
  H309&lt;50,"Adult",
  H309&gt;=50,"Senior"
)</f>
        <v>Adult</v>
      </c>
      <c r="J309" s="4" t="s">
        <v>16</v>
      </c>
      <c r="K309" s="4">
        <v>4</v>
      </c>
      <c r="L309" s="5">
        <v>300</v>
      </c>
      <c r="M309" s="5">
        <f xml:space="preserve"> K309*L309</f>
        <v>1200</v>
      </c>
      <c r="N309" s="14">
        <f xml:space="preserve"> M309 * $Q$3</f>
        <v>18</v>
      </c>
      <c r="O309" s="5"/>
    </row>
    <row r="310" spans="1:15">
      <c r="A310" s="2">
        <v>309</v>
      </c>
      <c r="B310" s="4">
        <f>DAY(E310)</f>
        <v>23</v>
      </c>
      <c r="C310" s="4">
        <f>MONTH(E310)</f>
        <v>12</v>
      </c>
      <c r="D310" s="4">
        <f>YEAR(E310)</f>
        <v>2023</v>
      </c>
      <c r="E310" s="3">
        <v>45283</v>
      </c>
      <c r="F310" s="4" t="s">
        <v>332</v>
      </c>
      <c r="G310" s="4" t="s">
        <v>19</v>
      </c>
      <c r="H310" s="4">
        <v>26</v>
      </c>
      <c r="I310" s="4" t="str" cm="1">
        <f t="array" ref="I310">_xlfn.IFS(
  H310&lt;30,"Young Adult",
  H310&lt;50,"Adult",
  H310&gt;=50,"Senior"
)</f>
        <v>Young Adult</v>
      </c>
      <c r="J310" s="4" t="s">
        <v>16</v>
      </c>
      <c r="K310" s="4">
        <v>1</v>
      </c>
      <c r="L310" s="5">
        <v>25</v>
      </c>
      <c r="M310" s="5">
        <f xml:space="preserve"> K310*L310</f>
        <v>25</v>
      </c>
      <c r="N310" s="14">
        <f xml:space="preserve"> M310 * $Q$3</f>
        <v>0.375</v>
      </c>
      <c r="O310" s="5"/>
    </row>
    <row r="311" spans="1:15">
      <c r="A311" s="2">
        <v>310</v>
      </c>
      <c r="B311" s="4">
        <f>DAY(E311)</f>
        <v>12</v>
      </c>
      <c r="C311" s="4">
        <f>MONTH(E311)</f>
        <v>10</v>
      </c>
      <c r="D311" s="4">
        <f>YEAR(E311)</f>
        <v>2023</v>
      </c>
      <c r="E311" s="3">
        <v>45211</v>
      </c>
      <c r="F311" s="4" t="s">
        <v>333</v>
      </c>
      <c r="G311" s="4" t="s">
        <v>19</v>
      </c>
      <c r="H311" s="4">
        <v>28</v>
      </c>
      <c r="I311" s="4" t="str" cm="1">
        <f t="array" ref="I311">_xlfn.IFS(
  H311&lt;30,"Young Adult",
  H311&lt;50,"Adult",
  H311&gt;=50,"Senior"
)</f>
        <v>Young Adult</v>
      </c>
      <c r="J311" s="4" t="s">
        <v>16</v>
      </c>
      <c r="K311" s="4">
        <v>1</v>
      </c>
      <c r="L311" s="5">
        <v>25</v>
      </c>
      <c r="M311" s="5">
        <f xml:space="preserve"> K311*L311</f>
        <v>25</v>
      </c>
      <c r="N311" s="14">
        <f xml:space="preserve"> M311 * $Q$3</f>
        <v>0.375</v>
      </c>
      <c r="O311" s="5"/>
    </row>
    <row r="312" spans="1:15">
      <c r="A312" s="2">
        <v>311</v>
      </c>
      <c r="B312" s="4">
        <f>DAY(E312)</f>
        <v>5</v>
      </c>
      <c r="C312" s="4">
        <f>MONTH(E312)</f>
        <v>12</v>
      </c>
      <c r="D312" s="4">
        <f>YEAR(E312)</f>
        <v>2023</v>
      </c>
      <c r="E312" s="3">
        <v>45265</v>
      </c>
      <c r="F312" s="4" t="s">
        <v>334</v>
      </c>
      <c r="G312" s="4" t="s">
        <v>19</v>
      </c>
      <c r="H312" s="4">
        <v>32</v>
      </c>
      <c r="I312" s="4" t="str" cm="1">
        <f t="array" ref="I312">_xlfn.IFS(
  H312&lt;30,"Young Adult",
  H312&lt;50,"Adult",
  H312&gt;=50,"Senior"
)</f>
        <v>Adult</v>
      </c>
      <c r="J312" s="4" t="s">
        <v>16</v>
      </c>
      <c r="K312" s="4">
        <v>4</v>
      </c>
      <c r="L312" s="5">
        <v>25</v>
      </c>
      <c r="M312" s="5">
        <f xml:space="preserve"> K312*L312</f>
        <v>100</v>
      </c>
      <c r="N312" s="14">
        <f xml:space="preserve"> M312 * $Q$3</f>
        <v>1.5</v>
      </c>
      <c r="O312" s="5"/>
    </row>
    <row r="313" spans="1:15">
      <c r="A313" s="2">
        <v>312</v>
      </c>
      <c r="B313" s="4">
        <f>DAY(E313)</f>
        <v>7</v>
      </c>
      <c r="C313" s="4">
        <f>MONTH(E313)</f>
        <v>9</v>
      </c>
      <c r="D313" s="4">
        <f>YEAR(E313)</f>
        <v>2023</v>
      </c>
      <c r="E313" s="3">
        <v>45176</v>
      </c>
      <c r="F313" s="4" t="s">
        <v>335</v>
      </c>
      <c r="G313" s="4" t="s">
        <v>15</v>
      </c>
      <c r="H313" s="4">
        <v>41</v>
      </c>
      <c r="I313" s="4" t="str" cm="1">
        <f t="array" ref="I313">_xlfn.IFS(
  H313&lt;30,"Young Adult",
  H313&lt;50,"Adult",
  H313&gt;=50,"Senior"
)</f>
        <v>Adult</v>
      </c>
      <c r="J313" s="4" t="s">
        <v>20</v>
      </c>
      <c r="K313" s="4">
        <v>4</v>
      </c>
      <c r="L313" s="5">
        <v>30</v>
      </c>
      <c r="M313" s="5">
        <f xml:space="preserve"> K313*L313</f>
        <v>120</v>
      </c>
      <c r="N313" s="14">
        <f xml:space="preserve"> M313 * $Q$3</f>
        <v>1.7999999999999998</v>
      </c>
      <c r="O313" s="5"/>
    </row>
    <row r="314" spans="1:15">
      <c r="A314" s="2">
        <v>313</v>
      </c>
      <c r="B314" s="4">
        <f>DAY(E314)</f>
        <v>21</v>
      </c>
      <c r="C314" s="4">
        <f>MONTH(E314)</f>
        <v>3</v>
      </c>
      <c r="D314" s="4">
        <f>YEAR(E314)</f>
        <v>2023</v>
      </c>
      <c r="E314" s="17">
        <v>45006</v>
      </c>
      <c r="F314" s="4" t="s">
        <v>336</v>
      </c>
      <c r="G314" s="4" t="s">
        <v>19</v>
      </c>
      <c r="H314" s="4">
        <v>55</v>
      </c>
      <c r="I314" s="4" t="str" cm="1">
        <f t="array" ref="I314">_xlfn.IFS(
  H314&lt;30,"Young Adult",
  H314&lt;50,"Adult",
  H314&gt;=50,"Senior"
)</f>
        <v>Senior</v>
      </c>
      <c r="J314" s="4" t="s">
        <v>16</v>
      </c>
      <c r="K314" s="4">
        <v>3</v>
      </c>
      <c r="L314" s="5">
        <v>500</v>
      </c>
      <c r="M314" s="5">
        <f xml:space="preserve"> K314*L314</f>
        <v>1500</v>
      </c>
      <c r="N314" s="14">
        <f xml:space="preserve"> M314 * $Q$3</f>
        <v>22.5</v>
      </c>
      <c r="O314" s="5"/>
    </row>
    <row r="315" spans="1:15">
      <c r="A315" s="2">
        <v>314</v>
      </c>
      <c r="B315" s="4">
        <f>DAY(E315)</f>
        <v>8</v>
      </c>
      <c r="C315" s="4">
        <f>MONTH(E315)</f>
        <v>4</v>
      </c>
      <c r="D315" s="4">
        <f>YEAR(E315)</f>
        <v>2023</v>
      </c>
      <c r="E315" s="17">
        <v>45024</v>
      </c>
      <c r="F315" s="4" t="s">
        <v>337</v>
      </c>
      <c r="G315" s="4" t="s">
        <v>15</v>
      </c>
      <c r="H315" s="4">
        <v>52</v>
      </c>
      <c r="I315" s="4" t="str" cm="1">
        <f t="array" ref="I315">_xlfn.IFS(
  H315&lt;30,"Young Adult",
  H315&lt;50,"Adult",
  H315&gt;=50,"Senior"
)</f>
        <v>Senior</v>
      </c>
      <c r="J315" s="4" t="s">
        <v>20</v>
      </c>
      <c r="K315" s="4">
        <v>4</v>
      </c>
      <c r="L315" s="5">
        <v>30</v>
      </c>
      <c r="M315" s="5">
        <f xml:space="preserve"> K315*L315</f>
        <v>120</v>
      </c>
      <c r="N315" s="14">
        <f xml:space="preserve"> M315 * $Q$3</f>
        <v>1.7999999999999998</v>
      </c>
      <c r="O315" s="5"/>
    </row>
    <row r="316" spans="1:15">
      <c r="A316" s="2">
        <v>315</v>
      </c>
      <c r="B316" s="4">
        <f>DAY(E316)</f>
        <v>1</v>
      </c>
      <c r="C316" s="4">
        <f>MONTH(E316)</f>
        <v>6</v>
      </c>
      <c r="D316" s="4">
        <f>YEAR(E316)</f>
        <v>2023</v>
      </c>
      <c r="E316" s="3">
        <v>45078</v>
      </c>
      <c r="F316" s="4" t="s">
        <v>338</v>
      </c>
      <c r="G316" s="4" t="s">
        <v>15</v>
      </c>
      <c r="H316" s="4">
        <v>47</v>
      </c>
      <c r="I316" s="4" t="str" cm="1">
        <f t="array" ref="I316">_xlfn.IFS(
  H316&lt;30,"Young Adult",
  H316&lt;50,"Adult",
  H316&gt;=50,"Senior"
)</f>
        <v>Adult</v>
      </c>
      <c r="J316" s="4" t="s">
        <v>20</v>
      </c>
      <c r="K316" s="4">
        <v>2</v>
      </c>
      <c r="L316" s="5">
        <v>30</v>
      </c>
      <c r="M316" s="5">
        <f xml:space="preserve"> K316*L316</f>
        <v>60</v>
      </c>
      <c r="N316" s="14">
        <f xml:space="preserve"> M316 * $Q$3</f>
        <v>0.89999999999999991</v>
      </c>
      <c r="O316" s="5"/>
    </row>
    <row r="317" spans="1:15">
      <c r="A317" s="2">
        <v>316</v>
      </c>
      <c r="B317" s="4">
        <f>DAY(E317)</f>
        <v>22</v>
      </c>
      <c r="C317" s="4">
        <f>MONTH(E317)</f>
        <v>4</v>
      </c>
      <c r="D317" s="4">
        <f>YEAR(E317)</f>
        <v>2023</v>
      </c>
      <c r="E317" s="17">
        <v>45038</v>
      </c>
      <c r="F317" s="4" t="s">
        <v>339</v>
      </c>
      <c r="G317" s="4" t="s">
        <v>19</v>
      </c>
      <c r="H317" s="4">
        <v>48</v>
      </c>
      <c r="I317" s="4" t="str" cm="1">
        <f t="array" ref="I317">_xlfn.IFS(
  H317&lt;30,"Young Adult",
  H317&lt;50,"Adult",
  H317&gt;=50,"Senior"
)</f>
        <v>Adult</v>
      </c>
      <c r="J317" s="4" t="s">
        <v>20</v>
      </c>
      <c r="K317" s="4">
        <v>2</v>
      </c>
      <c r="L317" s="5">
        <v>25</v>
      </c>
      <c r="M317" s="5">
        <f xml:space="preserve"> K317*L317</f>
        <v>50</v>
      </c>
      <c r="N317" s="14">
        <f xml:space="preserve"> M317 * $Q$3</f>
        <v>0.75</v>
      </c>
      <c r="O317" s="5"/>
    </row>
    <row r="318" spans="1:15">
      <c r="A318" s="2">
        <v>317</v>
      </c>
      <c r="B318" s="4">
        <f>DAY(E318)</f>
        <v>30</v>
      </c>
      <c r="C318" s="4">
        <f>MONTH(E318)</f>
        <v>1</v>
      </c>
      <c r="D318" s="4">
        <f>YEAR(E318)</f>
        <v>2023</v>
      </c>
      <c r="E318" s="3">
        <v>44956</v>
      </c>
      <c r="F318" s="4" t="s">
        <v>340</v>
      </c>
      <c r="G318" s="4" t="s">
        <v>15</v>
      </c>
      <c r="H318" s="4">
        <v>22</v>
      </c>
      <c r="I318" s="4" t="str" cm="1">
        <f t="array" ref="I318">_xlfn.IFS(
  H318&lt;30,"Young Adult",
  H318&lt;50,"Adult",
  H318&gt;=50,"Senior"
)</f>
        <v>Young Adult</v>
      </c>
      <c r="J318" s="4" t="s">
        <v>23</v>
      </c>
      <c r="K318" s="4">
        <v>3</v>
      </c>
      <c r="L318" s="5">
        <v>30</v>
      </c>
      <c r="M318" s="5">
        <f xml:space="preserve"> K318*L318</f>
        <v>90</v>
      </c>
      <c r="N318" s="14">
        <f xml:space="preserve"> M318 * $Q$3</f>
        <v>1.3499999999999999</v>
      </c>
      <c r="O318" s="5"/>
    </row>
    <row r="319" spans="1:15">
      <c r="A319" s="2">
        <v>318</v>
      </c>
      <c r="B319" s="4">
        <f>DAY(E319)</f>
        <v>24</v>
      </c>
      <c r="C319" s="4">
        <f>MONTH(E319)</f>
        <v>10</v>
      </c>
      <c r="D319" s="4">
        <f>YEAR(E319)</f>
        <v>2023</v>
      </c>
      <c r="E319" s="3">
        <v>45223</v>
      </c>
      <c r="F319" s="4" t="s">
        <v>341</v>
      </c>
      <c r="G319" s="4" t="s">
        <v>15</v>
      </c>
      <c r="H319" s="4">
        <v>61</v>
      </c>
      <c r="I319" s="4" t="str" cm="1">
        <f t="array" ref="I319">_xlfn.IFS(
  H319&lt;30,"Young Adult",
  H319&lt;50,"Adult",
  H319&gt;=50,"Senior"
)</f>
        <v>Senior</v>
      </c>
      <c r="J319" s="4" t="s">
        <v>20</v>
      </c>
      <c r="K319" s="4">
        <v>1</v>
      </c>
      <c r="L319" s="5">
        <v>25</v>
      </c>
      <c r="M319" s="5">
        <f xml:space="preserve"> K319*L319</f>
        <v>25</v>
      </c>
      <c r="N319" s="14">
        <f xml:space="preserve"> M319 * $Q$3</f>
        <v>0.375</v>
      </c>
      <c r="O319" s="5"/>
    </row>
    <row r="320" spans="1:15">
      <c r="A320" s="2">
        <v>319</v>
      </c>
      <c r="B320" s="4">
        <f>DAY(E320)</f>
        <v>5</v>
      </c>
      <c r="C320" s="4">
        <f>MONTH(E320)</f>
        <v>10</v>
      </c>
      <c r="D320" s="4">
        <f>YEAR(E320)</f>
        <v>2023</v>
      </c>
      <c r="E320" s="3">
        <v>45204</v>
      </c>
      <c r="F320" s="4" t="s">
        <v>342</v>
      </c>
      <c r="G320" s="4" t="s">
        <v>15</v>
      </c>
      <c r="H320" s="4">
        <v>31</v>
      </c>
      <c r="I320" s="4" t="str" cm="1">
        <f t="array" ref="I320">_xlfn.IFS(
  H320&lt;30,"Young Adult",
  H320&lt;50,"Adult",
  H320&gt;=50,"Senior"
)</f>
        <v>Adult</v>
      </c>
      <c r="J320" s="4" t="s">
        <v>20</v>
      </c>
      <c r="K320" s="4">
        <v>1</v>
      </c>
      <c r="L320" s="5">
        <v>500</v>
      </c>
      <c r="M320" s="5">
        <f xml:space="preserve"> K320*L320</f>
        <v>500</v>
      </c>
      <c r="N320" s="14">
        <f xml:space="preserve"> M320 * $Q$3</f>
        <v>7.5</v>
      </c>
      <c r="O320" s="5"/>
    </row>
    <row r="321" spans="1:15">
      <c r="A321" s="2">
        <v>320</v>
      </c>
      <c r="B321" s="4">
        <f>DAY(E321)</f>
        <v>1</v>
      </c>
      <c r="C321" s="4">
        <f>MONTH(E321)</f>
        <v>2</v>
      </c>
      <c r="D321" s="4">
        <f>YEAR(E321)</f>
        <v>2023</v>
      </c>
      <c r="E321" s="3">
        <v>44958</v>
      </c>
      <c r="F321" s="4" t="s">
        <v>343</v>
      </c>
      <c r="G321" s="4" t="s">
        <v>19</v>
      </c>
      <c r="H321" s="4">
        <v>28</v>
      </c>
      <c r="I321" s="4" t="str" cm="1">
        <f t="array" ref="I321">_xlfn.IFS(
  H321&lt;30,"Young Adult",
  H321&lt;50,"Adult",
  H321&gt;=50,"Senior"
)</f>
        <v>Young Adult</v>
      </c>
      <c r="J321" s="4" t="s">
        <v>23</v>
      </c>
      <c r="K321" s="4">
        <v>4</v>
      </c>
      <c r="L321" s="5">
        <v>300</v>
      </c>
      <c r="M321" s="5">
        <f xml:space="preserve"> K321*L321</f>
        <v>1200</v>
      </c>
      <c r="N321" s="14">
        <f xml:space="preserve"> M321 * $Q$3</f>
        <v>18</v>
      </c>
      <c r="O321" s="5"/>
    </row>
    <row r="322" spans="1:15">
      <c r="A322" s="2">
        <v>321</v>
      </c>
      <c r="B322" s="4">
        <f>DAY(E322)</f>
        <v>10</v>
      </c>
      <c r="C322" s="4">
        <f>MONTH(E322)</f>
        <v>6</v>
      </c>
      <c r="D322" s="4">
        <f>YEAR(E322)</f>
        <v>2023</v>
      </c>
      <c r="E322" s="3">
        <v>45087</v>
      </c>
      <c r="F322" s="4" t="s">
        <v>344</v>
      </c>
      <c r="G322" s="4" t="s">
        <v>19</v>
      </c>
      <c r="H322" s="4">
        <v>26</v>
      </c>
      <c r="I322" s="4" t="str" cm="1">
        <f t="array" ref="I322">_xlfn.IFS(
  H322&lt;30,"Young Adult",
  H322&lt;50,"Adult",
  H322&gt;=50,"Senior"
)</f>
        <v>Young Adult</v>
      </c>
      <c r="J322" s="4" t="s">
        <v>23</v>
      </c>
      <c r="K322" s="4">
        <v>2</v>
      </c>
      <c r="L322" s="5">
        <v>25</v>
      </c>
      <c r="M322" s="5">
        <f xml:space="preserve"> K322*L322</f>
        <v>50</v>
      </c>
      <c r="N322" s="14">
        <f xml:space="preserve"> M322 * $Q$3</f>
        <v>0.75</v>
      </c>
      <c r="O322" s="5"/>
    </row>
    <row r="323" spans="1:15">
      <c r="A323" s="2">
        <v>322</v>
      </c>
      <c r="B323" s="4">
        <f>DAY(E323)</f>
        <v>30</v>
      </c>
      <c r="C323" s="4">
        <f>MONTH(E323)</f>
        <v>1</v>
      </c>
      <c r="D323" s="4">
        <f>YEAR(E323)</f>
        <v>2023</v>
      </c>
      <c r="E323" s="3">
        <v>44956</v>
      </c>
      <c r="F323" s="4" t="s">
        <v>345</v>
      </c>
      <c r="G323" s="4" t="s">
        <v>15</v>
      </c>
      <c r="H323" s="4">
        <v>51</v>
      </c>
      <c r="I323" s="4" t="str" cm="1">
        <f t="array" ref="I323">_xlfn.IFS(
  H323&lt;30,"Young Adult",
  H323&lt;50,"Adult",
  H323&gt;=50,"Senior"
)</f>
        <v>Senior</v>
      </c>
      <c r="J323" s="4" t="s">
        <v>23</v>
      </c>
      <c r="K323" s="4">
        <v>1</v>
      </c>
      <c r="L323" s="5">
        <v>500</v>
      </c>
      <c r="M323" s="5">
        <f xml:space="preserve"> K323*L323</f>
        <v>500</v>
      </c>
      <c r="N323" s="14">
        <f xml:space="preserve"> M323 * $Q$3</f>
        <v>7.5</v>
      </c>
      <c r="O323" s="5"/>
    </row>
    <row r="324" spans="1:15">
      <c r="A324" s="2">
        <v>323</v>
      </c>
      <c r="B324" s="4">
        <f>DAY(E324)</f>
        <v>26</v>
      </c>
      <c r="C324" s="4">
        <f>MONTH(E324)</f>
        <v>1</v>
      </c>
      <c r="D324" s="4">
        <f>YEAR(E324)</f>
        <v>2023</v>
      </c>
      <c r="E324" s="3">
        <v>44952</v>
      </c>
      <c r="F324" s="4" t="s">
        <v>346</v>
      </c>
      <c r="G324" s="4" t="s">
        <v>19</v>
      </c>
      <c r="H324" s="4">
        <v>29</v>
      </c>
      <c r="I324" s="4" t="str" cm="1">
        <f t="array" ref="I324">_xlfn.IFS(
  H324&lt;30,"Young Adult",
  H324&lt;50,"Adult",
  H324&gt;=50,"Senior"
)</f>
        <v>Young Adult</v>
      </c>
      <c r="J324" s="4" t="s">
        <v>16</v>
      </c>
      <c r="K324" s="4">
        <v>3</v>
      </c>
      <c r="L324" s="5">
        <v>300</v>
      </c>
      <c r="M324" s="5">
        <f xml:space="preserve"> K324*L324</f>
        <v>900</v>
      </c>
      <c r="N324" s="14">
        <f xml:space="preserve"> M324 * $Q$3</f>
        <v>13.5</v>
      </c>
      <c r="O324" s="5"/>
    </row>
    <row r="325" spans="1:15">
      <c r="A325" s="2">
        <v>324</v>
      </c>
      <c r="B325" s="4">
        <f>DAY(E325)</f>
        <v>27</v>
      </c>
      <c r="C325" s="4">
        <f>MONTH(E325)</f>
        <v>10</v>
      </c>
      <c r="D325" s="4">
        <f>YEAR(E325)</f>
        <v>2023</v>
      </c>
      <c r="E325" s="3">
        <v>45226</v>
      </c>
      <c r="F325" s="4" t="s">
        <v>347</v>
      </c>
      <c r="G325" s="4" t="s">
        <v>19</v>
      </c>
      <c r="H325" s="4">
        <v>52</v>
      </c>
      <c r="I325" s="4" t="str" cm="1">
        <f t="array" ref="I325">_xlfn.IFS(
  H325&lt;30,"Young Adult",
  H325&lt;50,"Adult",
  H325&gt;=50,"Senior"
)</f>
        <v>Senior</v>
      </c>
      <c r="J325" s="4" t="s">
        <v>23</v>
      </c>
      <c r="K325" s="4">
        <v>3</v>
      </c>
      <c r="L325" s="5">
        <v>50</v>
      </c>
      <c r="M325" s="5">
        <f xml:space="preserve"> K325*L325</f>
        <v>150</v>
      </c>
      <c r="N325" s="14">
        <f xml:space="preserve"> M325 * $Q$3</f>
        <v>2.25</v>
      </c>
      <c r="O325" s="5"/>
    </row>
    <row r="326" spans="1:15">
      <c r="A326" s="2">
        <v>325</v>
      </c>
      <c r="B326" s="4">
        <f>DAY(E326)</f>
        <v>2</v>
      </c>
      <c r="C326" s="4">
        <f>MONTH(E326)</f>
        <v>9</v>
      </c>
      <c r="D326" s="4">
        <f>YEAR(E326)</f>
        <v>2023</v>
      </c>
      <c r="E326" s="3">
        <v>45171</v>
      </c>
      <c r="F326" s="4" t="s">
        <v>348</v>
      </c>
      <c r="G326" s="4" t="s">
        <v>19</v>
      </c>
      <c r="H326" s="4">
        <v>52</v>
      </c>
      <c r="I326" s="4" t="str" cm="1">
        <f t="array" ref="I326">_xlfn.IFS(
  H326&lt;30,"Young Adult",
  H326&lt;50,"Adult",
  H326&gt;=50,"Senior"
)</f>
        <v>Senior</v>
      </c>
      <c r="J326" s="4" t="s">
        <v>23</v>
      </c>
      <c r="K326" s="4">
        <v>2</v>
      </c>
      <c r="L326" s="5">
        <v>25</v>
      </c>
      <c r="M326" s="5">
        <f xml:space="preserve"> K326*L326</f>
        <v>50</v>
      </c>
      <c r="N326" s="14">
        <f xml:space="preserve"> M326 * $Q$3</f>
        <v>0.75</v>
      </c>
      <c r="O326" s="5"/>
    </row>
    <row r="327" spans="1:15">
      <c r="A327" s="2">
        <v>326</v>
      </c>
      <c r="B327" s="4">
        <f>DAY(E327)</f>
        <v>15</v>
      </c>
      <c r="C327" s="4">
        <f>MONTH(E327)</f>
        <v>9</v>
      </c>
      <c r="D327" s="4">
        <f>YEAR(E327)</f>
        <v>2023</v>
      </c>
      <c r="E327" s="3">
        <v>45184</v>
      </c>
      <c r="F327" s="4" t="s">
        <v>349</v>
      </c>
      <c r="G327" s="4" t="s">
        <v>19</v>
      </c>
      <c r="H327" s="4">
        <v>18</v>
      </c>
      <c r="I327" s="4" t="str" cm="1">
        <f t="array" ref="I327">_xlfn.IFS(
  H327&lt;30,"Young Adult",
  H327&lt;50,"Adult",
  H327&gt;=50,"Senior"
)</f>
        <v>Young Adult</v>
      </c>
      <c r="J327" s="4" t="s">
        <v>20</v>
      </c>
      <c r="K327" s="4">
        <v>3</v>
      </c>
      <c r="L327" s="5">
        <v>25</v>
      </c>
      <c r="M327" s="5">
        <f xml:space="preserve"> K327*L327</f>
        <v>75</v>
      </c>
      <c r="N327" s="14">
        <f xml:space="preserve"> M327 * $Q$3</f>
        <v>1.125</v>
      </c>
      <c r="O327" s="5"/>
    </row>
    <row r="328" spans="1:15">
      <c r="A328" s="2">
        <v>327</v>
      </c>
      <c r="B328" s="4">
        <f>DAY(E328)</f>
        <v>29</v>
      </c>
      <c r="C328" s="4">
        <f>MONTH(E328)</f>
        <v>9</v>
      </c>
      <c r="D328" s="4">
        <f>YEAR(E328)</f>
        <v>2023</v>
      </c>
      <c r="E328" s="3">
        <v>45198</v>
      </c>
      <c r="F328" s="4" t="s">
        <v>350</v>
      </c>
      <c r="G328" s="4" t="s">
        <v>15</v>
      </c>
      <c r="H328" s="4">
        <v>57</v>
      </c>
      <c r="I328" s="4" t="str" cm="1">
        <f t="array" ref="I328">_xlfn.IFS(
  H328&lt;30,"Young Adult",
  H328&lt;50,"Adult",
  H328&gt;=50,"Senior"
)</f>
        <v>Senior</v>
      </c>
      <c r="J328" s="4" t="s">
        <v>23</v>
      </c>
      <c r="K328" s="4">
        <v>3</v>
      </c>
      <c r="L328" s="5">
        <v>50</v>
      </c>
      <c r="M328" s="5">
        <f xml:space="preserve"> K328*L328</f>
        <v>150</v>
      </c>
      <c r="N328" s="14">
        <f xml:space="preserve"> M328 * $Q$3</f>
        <v>2.25</v>
      </c>
      <c r="O328" s="5"/>
    </row>
    <row r="329" spans="1:15">
      <c r="A329" s="2">
        <v>328</v>
      </c>
      <c r="B329" s="4">
        <f>DAY(E329)</f>
        <v>22</v>
      </c>
      <c r="C329" s="4">
        <f>MONTH(E329)</f>
        <v>3</v>
      </c>
      <c r="D329" s="4">
        <f>YEAR(E329)</f>
        <v>2023</v>
      </c>
      <c r="E329" s="17">
        <v>45007</v>
      </c>
      <c r="F329" s="4" t="s">
        <v>351</v>
      </c>
      <c r="G329" s="4" t="s">
        <v>15</v>
      </c>
      <c r="H329" s="4">
        <v>39</v>
      </c>
      <c r="I329" s="4" t="str" cm="1">
        <f t="array" ref="I329">_xlfn.IFS(
  H329&lt;30,"Young Adult",
  H329&lt;50,"Adult",
  H329&gt;=50,"Senior"
)</f>
        <v>Adult</v>
      </c>
      <c r="J329" s="4" t="s">
        <v>16</v>
      </c>
      <c r="K329" s="4">
        <v>2</v>
      </c>
      <c r="L329" s="5">
        <v>50</v>
      </c>
      <c r="M329" s="5">
        <f xml:space="preserve"> K329*L329</f>
        <v>100</v>
      </c>
      <c r="N329" s="14">
        <f xml:space="preserve"> M329 * $Q$3</f>
        <v>1.5</v>
      </c>
      <c r="O329" s="5"/>
    </row>
    <row r="330" spans="1:15">
      <c r="A330" s="2">
        <v>329</v>
      </c>
      <c r="B330" s="4">
        <f>DAY(E330)</f>
        <v>30</v>
      </c>
      <c r="C330" s="4">
        <f>MONTH(E330)</f>
        <v>1</v>
      </c>
      <c r="D330" s="4">
        <f>YEAR(E330)</f>
        <v>2023</v>
      </c>
      <c r="E330" s="3">
        <v>44956</v>
      </c>
      <c r="F330" s="4" t="s">
        <v>352</v>
      </c>
      <c r="G330" s="4" t="s">
        <v>19</v>
      </c>
      <c r="H330" s="4">
        <v>46</v>
      </c>
      <c r="I330" s="4" t="str" cm="1">
        <f t="array" ref="I330">_xlfn.IFS(
  H330&lt;30,"Young Adult",
  H330&lt;50,"Adult",
  H330&gt;=50,"Senior"
)</f>
        <v>Adult</v>
      </c>
      <c r="J330" s="4" t="s">
        <v>23</v>
      </c>
      <c r="K330" s="4">
        <v>4</v>
      </c>
      <c r="L330" s="5">
        <v>25</v>
      </c>
      <c r="M330" s="5">
        <f xml:space="preserve"> K330*L330</f>
        <v>100</v>
      </c>
      <c r="N330" s="14">
        <f xml:space="preserve"> M330 * $Q$3</f>
        <v>1.5</v>
      </c>
      <c r="O330" s="5"/>
    </row>
    <row r="331" spans="1:15">
      <c r="A331" s="2">
        <v>330</v>
      </c>
      <c r="B331" s="4">
        <f>DAY(E331)</f>
        <v>18</v>
      </c>
      <c r="C331" s="4">
        <f>MONTH(E331)</f>
        <v>9</v>
      </c>
      <c r="D331" s="4">
        <f>YEAR(E331)</f>
        <v>2023</v>
      </c>
      <c r="E331" s="17">
        <v>45187</v>
      </c>
      <c r="F331" s="4" t="s">
        <v>353</v>
      </c>
      <c r="G331" s="4" t="s">
        <v>19</v>
      </c>
      <c r="H331" s="4">
        <v>25</v>
      </c>
      <c r="I331" s="4" t="str" cm="1">
        <f t="array" ref="I331">_xlfn.IFS(
  H331&lt;30,"Young Adult",
  H331&lt;50,"Adult",
  H331&gt;=50,"Senior"
)</f>
        <v>Young Adult</v>
      </c>
      <c r="J331" s="4" t="s">
        <v>16</v>
      </c>
      <c r="K331" s="4">
        <v>4</v>
      </c>
      <c r="L331" s="5">
        <v>50</v>
      </c>
      <c r="M331" s="5">
        <f xml:space="preserve"> K331*L331</f>
        <v>200</v>
      </c>
      <c r="N331" s="14">
        <f xml:space="preserve"> M331 * $Q$3</f>
        <v>3</v>
      </c>
      <c r="O331" s="5"/>
    </row>
    <row r="332" spans="1:15">
      <c r="A332" s="2">
        <v>331</v>
      </c>
      <c r="B332" s="4">
        <f>DAY(E332)</f>
        <v>11</v>
      </c>
      <c r="C332" s="4">
        <f>MONTH(E332)</f>
        <v>2</v>
      </c>
      <c r="D332" s="4">
        <f>YEAR(E332)</f>
        <v>2023</v>
      </c>
      <c r="E332" s="3">
        <v>44968</v>
      </c>
      <c r="F332" s="4" t="s">
        <v>354</v>
      </c>
      <c r="G332" s="4" t="s">
        <v>15</v>
      </c>
      <c r="H332" s="4">
        <v>28</v>
      </c>
      <c r="I332" s="4" t="str" cm="1">
        <f t="array" ref="I332">_xlfn.IFS(
  H332&lt;30,"Young Adult",
  H332&lt;50,"Adult",
  H332&gt;=50,"Senior"
)</f>
        <v>Young Adult</v>
      </c>
      <c r="J332" s="4" t="s">
        <v>23</v>
      </c>
      <c r="K332" s="4">
        <v>3</v>
      </c>
      <c r="L332" s="5">
        <v>30</v>
      </c>
      <c r="M332" s="5">
        <f xml:space="preserve"> K332*L332</f>
        <v>90</v>
      </c>
      <c r="N332" s="14">
        <f xml:space="preserve"> M332 * $Q$3</f>
        <v>1.3499999999999999</v>
      </c>
      <c r="O332" s="5"/>
    </row>
    <row r="333" spans="1:15">
      <c r="A333" s="2">
        <v>332</v>
      </c>
      <c r="B333" s="4">
        <f>DAY(E333)</f>
        <v>6</v>
      </c>
      <c r="C333" s="4">
        <f>MONTH(E333)</f>
        <v>4</v>
      </c>
      <c r="D333" s="4">
        <f>YEAR(E333)</f>
        <v>2023</v>
      </c>
      <c r="E333" s="17">
        <v>45022</v>
      </c>
      <c r="F333" s="4" t="s">
        <v>355</v>
      </c>
      <c r="G333" s="4" t="s">
        <v>15</v>
      </c>
      <c r="H333" s="4">
        <v>58</v>
      </c>
      <c r="I333" s="4" t="str" cm="1">
        <f t="array" ref="I333">_xlfn.IFS(
  H333&lt;30,"Young Adult",
  H333&lt;50,"Adult",
  H333&gt;=50,"Senior"
)</f>
        <v>Senior</v>
      </c>
      <c r="J333" s="4" t="s">
        <v>23</v>
      </c>
      <c r="K333" s="4">
        <v>4</v>
      </c>
      <c r="L333" s="5">
        <v>300</v>
      </c>
      <c r="M333" s="5">
        <f xml:space="preserve"> K333*L333</f>
        <v>1200</v>
      </c>
      <c r="N333" s="14">
        <f xml:space="preserve"> M333 * $Q$3</f>
        <v>18</v>
      </c>
      <c r="O333" s="5"/>
    </row>
    <row r="334" spans="1:15">
      <c r="A334" s="2">
        <v>333</v>
      </c>
      <c r="B334" s="4">
        <f>DAY(E334)</f>
        <v>5</v>
      </c>
      <c r="C334" s="4">
        <f>MONTH(E334)</f>
        <v>2</v>
      </c>
      <c r="D334" s="4">
        <f>YEAR(E334)</f>
        <v>2023</v>
      </c>
      <c r="E334" s="3">
        <v>44962</v>
      </c>
      <c r="F334" s="4" t="s">
        <v>356</v>
      </c>
      <c r="G334" s="4" t="s">
        <v>19</v>
      </c>
      <c r="H334" s="4">
        <v>54</v>
      </c>
      <c r="I334" s="4" t="str" cm="1">
        <f t="array" ref="I334">_xlfn.IFS(
  H334&lt;30,"Young Adult",
  H334&lt;50,"Adult",
  H334&gt;=50,"Senior"
)</f>
        <v>Senior</v>
      </c>
      <c r="J334" s="4" t="s">
        <v>23</v>
      </c>
      <c r="K334" s="4">
        <v>4</v>
      </c>
      <c r="L334" s="5">
        <v>300</v>
      </c>
      <c r="M334" s="5">
        <f xml:space="preserve"> K334*L334</f>
        <v>1200</v>
      </c>
      <c r="N334" s="14">
        <f xml:space="preserve"> M334 * $Q$3</f>
        <v>18</v>
      </c>
      <c r="O334" s="5"/>
    </row>
    <row r="335" spans="1:15">
      <c r="A335" s="2">
        <v>334</v>
      </c>
      <c r="B335" s="4">
        <f>DAY(E335)</f>
        <v>1</v>
      </c>
      <c r="C335" s="4">
        <f>MONTH(E335)</f>
        <v>11</v>
      </c>
      <c r="D335" s="4">
        <f>YEAR(E335)</f>
        <v>2023</v>
      </c>
      <c r="E335" s="3">
        <v>45231</v>
      </c>
      <c r="F335" s="4" t="s">
        <v>357</v>
      </c>
      <c r="G335" s="4" t="s">
        <v>15</v>
      </c>
      <c r="H335" s="4">
        <v>31</v>
      </c>
      <c r="I335" s="4" t="str" cm="1">
        <f t="array" ref="I335">_xlfn.IFS(
  H335&lt;30,"Young Adult",
  H335&lt;50,"Adult",
  H335&gt;=50,"Senior"
)</f>
        <v>Adult</v>
      </c>
      <c r="J335" s="4" t="s">
        <v>23</v>
      </c>
      <c r="K335" s="4">
        <v>3</v>
      </c>
      <c r="L335" s="5">
        <v>300</v>
      </c>
      <c r="M335" s="5">
        <f xml:space="preserve"> K335*L335</f>
        <v>900</v>
      </c>
      <c r="N335" s="14">
        <f xml:space="preserve"> M335 * $Q$3</f>
        <v>13.5</v>
      </c>
      <c r="O335" s="5"/>
    </row>
    <row r="336" spans="1:15">
      <c r="A336" s="2">
        <v>335</v>
      </c>
      <c r="B336" s="4">
        <f>DAY(E336)</f>
        <v>4</v>
      </c>
      <c r="C336" s="4">
        <f>MONTH(E336)</f>
        <v>2</v>
      </c>
      <c r="D336" s="4">
        <f>YEAR(E336)</f>
        <v>2023</v>
      </c>
      <c r="E336" s="3">
        <v>44961</v>
      </c>
      <c r="F336" s="4" t="s">
        <v>358</v>
      </c>
      <c r="G336" s="4" t="s">
        <v>19</v>
      </c>
      <c r="H336" s="4">
        <v>47</v>
      </c>
      <c r="I336" s="4" t="str" cm="1">
        <f t="array" ref="I336">_xlfn.IFS(
  H336&lt;30,"Young Adult",
  H336&lt;50,"Adult",
  H336&gt;=50,"Senior"
)</f>
        <v>Adult</v>
      </c>
      <c r="J336" s="4" t="s">
        <v>16</v>
      </c>
      <c r="K336" s="4">
        <v>4</v>
      </c>
      <c r="L336" s="5">
        <v>30</v>
      </c>
      <c r="M336" s="5">
        <f xml:space="preserve"> K336*L336</f>
        <v>120</v>
      </c>
      <c r="N336" s="14">
        <f xml:space="preserve"> M336 * $Q$3</f>
        <v>1.7999999999999998</v>
      </c>
      <c r="O336" s="5"/>
    </row>
    <row r="337" spans="1:15">
      <c r="A337" s="2">
        <v>336</v>
      </c>
      <c r="B337" s="4">
        <f>DAY(E337)</f>
        <v>12</v>
      </c>
      <c r="C337" s="4">
        <f>MONTH(E337)</f>
        <v>12</v>
      </c>
      <c r="D337" s="4">
        <f>YEAR(E337)</f>
        <v>2023</v>
      </c>
      <c r="E337" s="3">
        <v>45272</v>
      </c>
      <c r="F337" s="4" t="s">
        <v>359</v>
      </c>
      <c r="G337" s="4" t="s">
        <v>19</v>
      </c>
      <c r="H337" s="4">
        <v>52</v>
      </c>
      <c r="I337" s="4" t="str" cm="1">
        <f t="array" ref="I337">_xlfn.IFS(
  H337&lt;30,"Young Adult",
  H337&lt;50,"Adult",
  H337&gt;=50,"Senior"
)</f>
        <v>Senior</v>
      </c>
      <c r="J337" s="4" t="s">
        <v>16</v>
      </c>
      <c r="K337" s="4">
        <v>3</v>
      </c>
      <c r="L337" s="5">
        <v>50</v>
      </c>
      <c r="M337" s="5">
        <f xml:space="preserve"> K337*L337</f>
        <v>150</v>
      </c>
      <c r="N337" s="14">
        <f xml:space="preserve"> M337 * $Q$3</f>
        <v>2.25</v>
      </c>
      <c r="O337" s="5"/>
    </row>
    <row r="338" spans="1:15">
      <c r="A338" s="2">
        <v>337</v>
      </c>
      <c r="B338" s="4">
        <f>DAY(E338)</f>
        <v>1</v>
      </c>
      <c r="C338" s="4">
        <f>MONTH(E338)</f>
        <v>5</v>
      </c>
      <c r="D338" s="4">
        <f>YEAR(E338)</f>
        <v>2023</v>
      </c>
      <c r="E338" s="17">
        <v>45047</v>
      </c>
      <c r="F338" s="4" t="s">
        <v>360</v>
      </c>
      <c r="G338" s="4" t="s">
        <v>15</v>
      </c>
      <c r="H338" s="4">
        <v>38</v>
      </c>
      <c r="I338" s="4" t="str" cm="1">
        <f t="array" ref="I338">_xlfn.IFS(
  H338&lt;30,"Young Adult",
  H338&lt;50,"Adult",
  H338&gt;=50,"Senior"
)</f>
        <v>Adult</v>
      </c>
      <c r="J338" s="4" t="s">
        <v>20</v>
      </c>
      <c r="K338" s="4">
        <v>1</v>
      </c>
      <c r="L338" s="5">
        <v>500</v>
      </c>
      <c r="M338" s="5">
        <f xml:space="preserve"> K338*L338</f>
        <v>500</v>
      </c>
      <c r="N338" s="14">
        <f xml:space="preserve"> M338 * $Q$3</f>
        <v>7.5</v>
      </c>
      <c r="O338" s="5"/>
    </row>
    <row r="339" spans="1:15">
      <c r="A339" s="2">
        <v>338</v>
      </c>
      <c r="B339" s="4">
        <f>DAY(E339)</f>
        <v>26</v>
      </c>
      <c r="C339" s="4">
        <f>MONTH(E339)</f>
        <v>7</v>
      </c>
      <c r="D339" s="4">
        <f>YEAR(E339)</f>
        <v>2023</v>
      </c>
      <c r="E339" s="3">
        <v>45133</v>
      </c>
      <c r="F339" s="4" t="s">
        <v>361</v>
      </c>
      <c r="G339" s="4" t="s">
        <v>15</v>
      </c>
      <c r="H339" s="4">
        <v>54</v>
      </c>
      <c r="I339" s="4" t="str" cm="1">
        <f t="array" ref="I339">_xlfn.IFS(
  H339&lt;30,"Young Adult",
  H339&lt;50,"Adult",
  H339&gt;=50,"Senior"
)</f>
        <v>Senior</v>
      </c>
      <c r="J339" s="4" t="s">
        <v>16</v>
      </c>
      <c r="K339" s="4">
        <v>2</v>
      </c>
      <c r="L339" s="5">
        <v>50</v>
      </c>
      <c r="M339" s="5">
        <f xml:space="preserve"> K339*L339</f>
        <v>100</v>
      </c>
      <c r="N339" s="14">
        <f xml:space="preserve"> M339 * $Q$3</f>
        <v>1.5</v>
      </c>
      <c r="O339" s="5"/>
    </row>
    <row r="340" spans="1:15">
      <c r="A340" s="2">
        <v>339</v>
      </c>
      <c r="B340" s="4">
        <f>DAY(E340)</f>
        <v>3</v>
      </c>
      <c r="C340" s="4">
        <f>MONTH(E340)</f>
        <v>3</v>
      </c>
      <c r="D340" s="4">
        <f>YEAR(E340)</f>
        <v>2023</v>
      </c>
      <c r="E340" s="17">
        <v>44988</v>
      </c>
      <c r="F340" s="4" t="s">
        <v>362</v>
      </c>
      <c r="G340" s="4" t="s">
        <v>19</v>
      </c>
      <c r="H340" s="4">
        <v>22</v>
      </c>
      <c r="I340" s="4" t="str" cm="1">
        <f t="array" ref="I340">_xlfn.IFS(
  H340&lt;30,"Young Adult",
  H340&lt;50,"Adult",
  H340&gt;=50,"Senior"
)</f>
        <v>Young Adult</v>
      </c>
      <c r="J340" s="4" t="s">
        <v>23</v>
      </c>
      <c r="K340" s="4">
        <v>2</v>
      </c>
      <c r="L340" s="5">
        <v>25</v>
      </c>
      <c r="M340" s="5">
        <f xml:space="preserve"> K340*L340</f>
        <v>50</v>
      </c>
      <c r="N340" s="14">
        <f xml:space="preserve"> M340 * $Q$3</f>
        <v>0.75</v>
      </c>
      <c r="O340" s="5"/>
    </row>
    <row r="341" spans="1:15">
      <c r="A341" s="2">
        <v>340</v>
      </c>
      <c r="B341" s="4">
        <f>DAY(E341)</f>
        <v>19</v>
      </c>
      <c r="C341" s="4">
        <f>MONTH(E341)</f>
        <v>10</v>
      </c>
      <c r="D341" s="4">
        <f>YEAR(E341)</f>
        <v>2023</v>
      </c>
      <c r="E341" s="3">
        <v>45218</v>
      </c>
      <c r="F341" s="4" t="s">
        <v>363</v>
      </c>
      <c r="G341" s="4" t="s">
        <v>19</v>
      </c>
      <c r="H341" s="4">
        <v>36</v>
      </c>
      <c r="I341" s="4" t="str" cm="1">
        <f t="array" ref="I341">_xlfn.IFS(
  H341&lt;30,"Young Adult",
  H341&lt;50,"Adult",
  H341&gt;=50,"Senior"
)</f>
        <v>Adult</v>
      </c>
      <c r="J341" s="4" t="s">
        <v>20</v>
      </c>
      <c r="K341" s="4">
        <v>4</v>
      </c>
      <c r="L341" s="5">
        <v>300</v>
      </c>
      <c r="M341" s="5">
        <f xml:space="preserve"> K341*L341</f>
        <v>1200</v>
      </c>
      <c r="N341" s="14">
        <f xml:space="preserve"> M341 * $Q$3</f>
        <v>18</v>
      </c>
      <c r="O341" s="5"/>
    </row>
    <row r="342" spans="1:15">
      <c r="A342" s="2">
        <v>341</v>
      </c>
      <c r="B342" s="4">
        <f>DAY(E342)</f>
        <v>7</v>
      </c>
      <c r="C342" s="4">
        <f>MONTH(E342)</f>
        <v>5</v>
      </c>
      <c r="D342" s="4">
        <f>YEAR(E342)</f>
        <v>2023</v>
      </c>
      <c r="E342" s="17">
        <v>45053</v>
      </c>
      <c r="F342" s="4" t="s">
        <v>364</v>
      </c>
      <c r="G342" s="4" t="s">
        <v>15</v>
      </c>
      <c r="H342" s="4">
        <v>31</v>
      </c>
      <c r="I342" s="4" t="str" cm="1">
        <f t="array" ref="I342">_xlfn.IFS(
  H342&lt;30,"Young Adult",
  H342&lt;50,"Adult",
  H342&gt;=50,"Senior"
)</f>
        <v>Adult</v>
      </c>
      <c r="J342" s="4" t="s">
        <v>20</v>
      </c>
      <c r="K342" s="4">
        <v>4</v>
      </c>
      <c r="L342" s="5">
        <v>50</v>
      </c>
      <c r="M342" s="5">
        <f xml:space="preserve"> K342*L342</f>
        <v>200</v>
      </c>
      <c r="N342" s="14">
        <f xml:space="preserve"> M342 * $Q$3</f>
        <v>3</v>
      </c>
      <c r="O342" s="5"/>
    </row>
    <row r="343" spans="1:15">
      <c r="A343" s="2">
        <v>342</v>
      </c>
      <c r="B343" s="4">
        <f>DAY(E343)</f>
        <v>24</v>
      </c>
      <c r="C343" s="4">
        <f>MONTH(E343)</f>
        <v>10</v>
      </c>
      <c r="D343" s="4">
        <f>YEAR(E343)</f>
        <v>2023</v>
      </c>
      <c r="E343" s="3">
        <v>45223</v>
      </c>
      <c r="F343" s="4" t="s">
        <v>365</v>
      </c>
      <c r="G343" s="4" t="s">
        <v>19</v>
      </c>
      <c r="H343" s="4">
        <v>43</v>
      </c>
      <c r="I343" s="4" t="str" cm="1">
        <f t="array" ref="I343">_xlfn.IFS(
  H343&lt;30,"Young Adult",
  H343&lt;50,"Adult",
  H343&gt;=50,"Senior"
)</f>
        <v>Adult</v>
      </c>
      <c r="J343" s="4" t="s">
        <v>20</v>
      </c>
      <c r="K343" s="4">
        <v>4</v>
      </c>
      <c r="L343" s="5">
        <v>500</v>
      </c>
      <c r="M343" s="5">
        <f xml:space="preserve"> K343*L343</f>
        <v>2000</v>
      </c>
      <c r="N343" s="14">
        <f xml:space="preserve"> M343 * $Q$3</f>
        <v>30</v>
      </c>
      <c r="O343" s="5"/>
    </row>
    <row r="344" spans="1:15">
      <c r="A344" s="2">
        <v>343</v>
      </c>
      <c r="B344" s="4">
        <f>DAY(E344)</f>
        <v>1</v>
      </c>
      <c r="C344" s="4">
        <f>MONTH(E344)</f>
        <v>11</v>
      </c>
      <c r="D344" s="4">
        <f>YEAR(E344)</f>
        <v>2023</v>
      </c>
      <c r="E344" s="3">
        <v>45231</v>
      </c>
      <c r="F344" s="4" t="s">
        <v>366</v>
      </c>
      <c r="G344" s="4" t="s">
        <v>15</v>
      </c>
      <c r="H344" s="4">
        <v>21</v>
      </c>
      <c r="I344" s="4" t="str" cm="1">
        <f t="array" ref="I344">_xlfn.IFS(
  H344&lt;30,"Young Adult",
  H344&lt;50,"Adult",
  H344&gt;=50,"Senior"
)</f>
        <v>Young Adult</v>
      </c>
      <c r="J344" s="4" t="s">
        <v>23</v>
      </c>
      <c r="K344" s="4">
        <v>2</v>
      </c>
      <c r="L344" s="5">
        <v>25</v>
      </c>
      <c r="M344" s="5">
        <f xml:space="preserve"> K344*L344</f>
        <v>50</v>
      </c>
      <c r="N344" s="14">
        <f xml:space="preserve"> M344 * $Q$3</f>
        <v>0.75</v>
      </c>
      <c r="O344" s="5"/>
    </row>
    <row r="345" spans="1:15">
      <c r="A345" s="2">
        <v>344</v>
      </c>
      <c r="B345" s="4">
        <f>DAY(E345)</f>
        <v>21</v>
      </c>
      <c r="C345" s="4">
        <f>MONTH(E345)</f>
        <v>1</v>
      </c>
      <c r="D345" s="4">
        <f>YEAR(E345)</f>
        <v>2023</v>
      </c>
      <c r="E345" s="3">
        <v>44947</v>
      </c>
      <c r="F345" s="4" t="s">
        <v>367</v>
      </c>
      <c r="G345" s="4" t="s">
        <v>19</v>
      </c>
      <c r="H345" s="4">
        <v>42</v>
      </c>
      <c r="I345" s="4" t="str" cm="1">
        <f t="array" ref="I345">_xlfn.IFS(
  H345&lt;30,"Young Adult",
  H345&lt;50,"Adult",
  H345&gt;=50,"Senior"
)</f>
        <v>Adult</v>
      </c>
      <c r="J345" s="4" t="s">
        <v>16</v>
      </c>
      <c r="K345" s="4">
        <v>1</v>
      </c>
      <c r="L345" s="5">
        <v>30</v>
      </c>
      <c r="M345" s="5">
        <f xml:space="preserve"> K345*L345</f>
        <v>30</v>
      </c>
      <c r="N345" s="14">
        <f xml:space="preserve"> M345 * $Q$3</f>
        <v>0.44999999999999996</v>
      </c>
      <c r="O345" s="5"/>
    </row>
    <row r="346" spans="1:15">
      <c r="A346" s="2">
        <v>345</v>
      </c>
      <c r="B346" s="4">
        <f>DAY(E346)</f>
        <v>14</v>
      </c>
      <c r="C346" s="4">
        <f>MONTH(E346)</f>
        <v>11</v>
      </c>
      <c r="D346" s="4">
        <f>YEAR(E346)</f>
        <v>2023</v>
      </c>
      <c r="E346" s="3">
        <v>45244</v>
      </c>
      <c r="F346" s="4" t="s">
        <v>368</v>
      </c>
      <c r="G346" s="4" t="s">
        <v>15</v>
      </c>
      <c r="H346" s="4">
        <v>62</v>
      </c>
      <c r="I346" s="4" t="str" cm="1">
        <f t="array" ref="I346">_xlfn.IFS(
  H346&lt;30,"Young Adult",
  H346&lt;50,"Adult",
  H346&gt;=50,"Senior"
)</f>
        <v>Senior</v>
      </c>
      <c r="J346" s="4" t="s">
        <v>23</v>
      </c>
      <c r="K346" s="4">
        <v>1</v>
      </c>
      <c r="L346" s="5">
        <v>30</v>
      </c>
      <c r="M346" s="5">
        <f xml:space="preserve"> K346*L346</f>
        <v>30</v>
      </c>
      <c r="N346" s="14">
        <f xml:space="preserve"> M346 * $Q$3</f>
        <v>0.44999999999999996</v>
      </c>
      <c r="O346" s="5"/>
    </row>
    <row r="347" spans="1:15">
      <c r="A347" s="2">
        <v>346</v>
      </c>
      <c r="B347" s="4">
        <f>DAY(E347)</f>
        <v>11</v>
      </c>
      <c r="C347" s="4">
        <f>MONTH(E347)</f>
        <v>2</v>
      </c>
      <c r="D347" s="4">
        <f>YEAR(E347)</f>
        <v>2023</v>
      </c>
      <c r="E347" s="3">
        <v>44968</v>
      </c>
      <c r="F347" s="4" t="s">
        <v>369</v>
      </c>
      <c r="G347" s="4" t="s">
        <v>15</v>
      </c>
      <c r="H347" s="4">
        <v>59</v>
      </c>
      <c r="I347" s="4" t="str" cm="1">
        <f t="array" ref="I347">_xlfn.IFS(
  H347&lt;30,"Young Adult",
  H347&lt;50,"Adult",
  H347&gt;=50,"Senior"
)</f>
        <v>Senior</v>
      </c>
      <c r="J347" s="4" t="s">
        <v>20</v>
      </c>
      <c r="K347" s="4">
        <v>2</v>
      </c>
      <c r="L347" s="5">
        <v>500</v>
      </c>
      <c r="M347" s="5">
        <f xml:space="preserve"> K347*L347</f>
        <v>1000</v>
      </c>
      <c r="N347" s="14">
        <f xml:space="preserve"> M347 * $Q$3</f>
        <v>15</v>
      </c>
      <c r="O347" s="5"/>
    </row>
    <row r="348" spans="1:15">
      <c r="A348" s="2">
        <v>347</v>
      </c>
      <c r="B348" s="4">
        <f>DAY(E348)</f>
        <v>3</v>
      </c>
      <c r="C348" s="4">
        <f>MONTH(E348)</f>
        <v>8</v>
      </c>
      <c r="D348" s="4">
        <f>YEAR(E348)</f>
        <v>2023</v>
      </c>
      <c r="E348" s="3">
        <v>45141</v>
      </c>
      <c r="F348" s="4" t="s">
        <v>370</v>
      </c>
      <c r="G348" s="4" t="s">
        <v>15</v>
      </c>
      <c r="H348" s="4">
        <v>42</v>
      </c>
      <c r="I348" s="4" t="str" cm="1">
        <f t="array" ref="I348">_xlfn.IFS(
  H348&lt;30,"Young Adult",
  H348&lt;50,"Adult",
  H348&gt;=50,"Senior"
)</f>
        <v>Adult</v>
      </c>
      <c r="J348" s="4" t="s">
        <v>23</v>
      </c>
      <c r="K348" s="4">
        <v>1</v>
      </c>
      <c r="L348" s="5">
        <v>25</v>
      </c>
      <c r="M348" s="5">
        <f xml:space="preserve"> K348*L348</f>
        <v>25</v>
      </c>
      <c r="N348" s="14">
        <f xml:space="preserve"> M348 * $Q$3</f>
        <v>0.375</v>
      </c>
      <c r="O348" s="5"/>
    </row>
    <row r="349" spans="1:15">
      <c r="A349" s="2">
        <v>348</v>
      </c>
      <c r="B349" s="4">
        <f>DAY(E349)</f>
        <v>3</v>
      </c>
      <c r="C349" s="4">
        <f>MONTH(E349)</f>
        <v>12</v>
      </c>
      <c r="D349" s="4">
        <f>YEAR(E349)</f>
        <v>2023</v>
      </c>
      <c r="E349" s="3">
        <v>45263</v>
      </c>
      <c r="F349" s="4" t="s">
        <v>371</v>
      </c>
      <c r="G349" s="4" t="s">
        <v>19</v>
      </c>
      <c r="H349" s="4">
        <v>35</v>
      </c>
      <c r="I349" s="4" t="str" cm="1">
        <f t="array" ref="I349">_xlfn.IFS(
  H349&lt;30,"Young Adult",
  H349&lt;50,"Adult",
  H349&gt;=50,"Senior"
)</f>
        <v>Adult</v>
      </c>
      <c r="J349" s="4" t="s">
        <v>23</v>
      </c>
      <c r="K349" s="4">
        <v>2</v>
      </c>
      <c r="L349" s="5">
        <v>300</v>
      </c>
      <c r="M349" s="5">
        <f xml:space="preserve"> K349*L349</f>
        <v>600</v>
      </c>
      <c r="N349" s="14">
        <f xml:space="preserve"> M349 * $Q$3</f>
        <v>9</v>
      </c>
      <c r="O349" s="5"/>
    </row>
    <row r="350" spans="1:15">
      <c r="A350" s="2">
        <v>349</v>
      </c>
      <c r="B350" s="4">
        <f>DAY(E350)</f>
        <v>26</v>
      </c>
      <c r="C350" s="4">
        <f>MONTH(E350)</f>
        <v>10</v>
      </c>
      <c r="D350" s="4">
        <f>YEAR(E350)</f>
        <v>2023</v>
      </c>
      <c r="E350" s="3">
        <v>45225</v>
      </c>
      <c r="F350" s="4" t="s">
        <v>372</v>
      </c>
      <c r="G350" s="4" t="s">
        <v>19</v>
      </c>
      <c r="H350" s="4">
        <v>57</v>
      </c>
      <c r="I350" s="4" t="str" cm="1">
        <f t="array" ref="I350">_xlfn.IFS(
  H350&lt;30,"Young Adult",
  H350&lt;50,"Adult",
  H350&gt;=50,"Senior"
)</f>
        <v>Senior</v>
      </c>
      <c r="J350" s="4" t="s">
        <v>16</v>
      </c>
      <c r="K350" s="4">
        <v>1</v>
      </c>
      <c r="L350" s="5">
        <v>50</v>
      </c>
      <c r="M350" s="5">
        <f xml:space="preserve"> K350*L350</f>
        <v>50</v>
      </c>
      <c r="N350" s="14">
        <f xml:space="preserve"> M350 * $Q$3</f>
        <v>0.75</v>
      </c>
      <c r="O350" s="5"/>
    </row>
    <row r="351" spans="1:15">
      <c r="A351" s="2">
        <v>350</v>
      </c>
      <c r="B351" s="4">
        <f>DAY(E351)</f>
        <v>17</v>
      </c>
      <c r="C351" s="4">
        <f>MONTH(E351)</f>
        <v>10</v>
      </c>
      <c r="D351" s="4">
        <f>YEAR(E351)</f>
        <v>2023</v>
      </c>
      <c r="E351" s="3">
        <v>45216</v>
      </c>
      <c r="F351" s="4" t="s">
        <v>373</v>
      </c>
      <c r="G351" s="4" t="s">
        <v>15</v>
      </c>
      <c r="H351" s="4">
        <v>25</v>
      </c>
      <c r="I351" s="4" t="str" cm="1">
        <f t="array" ref="I351">_xlfn.IFS(
  H351&lt;30,"Young Adult",
  H351&lt;50,"Adult",
  H351&gt;=50,"Senior"
)</f>
        <v>Young Adult</v>
      </c>
      <c r="J351" s="4" t="s">
        <v>16</v>
      </c>
      <c r="K351" s="4">
        <v>3</v>
      </c>
      <c r="L351" s="5">
        <v>25</v>
      </c>
      <c r="M351" s="5">
        <f xml:space="preserve"> K351*L351</f>
        <v>75</v>
      </c>
      <c r="N351" s="14">
        <f xml:space="preserve"> M351 * $Q$3</f>
        <v>1.125</v>
      </c>
      <c r="O351" s="5"/>
    </row>
    <row r="352" spans="1:15">
      <c r="A352" s="2">
        <v>351</v>
      </c>
      <c r="B352" s="4">
        <f>DAY(E352)</f>
        <v>25</v>
      </c>
      <c r="C352" s="4">
        <f>MONTH(E352)</f>
        <v>9</v>
      </c>
      <c r="D352" s="4">
        <f>YEAR(E352)</f>
        <v>2023</v>
      </c>
      <c r="E352" s="3">
        <v>45194</v>
      </c>
      <c r="F352" s="4" t="s">
        <v>374</v>
      </c>
      <c r="G352" s="4" t="s">
        <v>19</v>
      </c>
      <c r="H352" s="4">
        <v>56</v>
      </c>
      <c r="I352" s="4" t="str" cm="1">
        <f t="array" ref="I352">_xlfn.IFS(
  H352&lt;30,"Young Adult",
  H352&lt;50,"Adult",
  H352&gt;=50,"Senior"
)</f>
        <v>Senior</v>
      </c>
      <c r="J352" s="4" t="s">
        <v>20</v>
      </c>
      <c r="K352" s="4">
        <v>3</v>
      </c>
      <c r="L352" s="5">
        <v>30</v>
      </c>
      <c r="M352" s="5">
        <f xml:space="preserve"> K352*L352</f>
        <v>90</v>
      </c>
      <c r="N352" s="14">
        <f xml:space="preserve"> M352 * $Q$3</f>
        <v>1.3499999999999999</v>
      </c>
      <c r="O352" s="5"/>
    </row>
    <row r="353" spans="1:15">
      <c r="A353" s="2">
        <v>352</v>
      </c>
      <c r="B353" s="4">
        <f>DAY(E353)</f>
        <v>11</v>
      </c>
      <c r="C353" s="4">
        <f>MONTH(E353)</f>
        <v>6</v>
      </c>
      <c r="D353" s="4">
        <f>YEAR(E353)</f>
        <v>2023</v>
      </c>
      <c r="E353" s="3">
        <v>45088</v>
      </c>
      <c r="F353" s="4" t="s">
        <v>375</v>
      </c>
      <c r="G353" s="4" t="s">
        <v>15</v>
      </c>
      <c r="H353" s="4">
        <v>57</v>
      </c>
      <c r="I353" s="4" t="str" cm="1">
        <f t="array" ref="I353">_xlfn.IFS(
  H353&lt;30,"Young Adult",
  H353&lt;50,"Adult",
  H353&gt;=50,"Senior"
)</f>
        <v>Senior</v>
      </c>
      <c r="J353" s="4" t="s">
        <v>23</v>
      </c>
      <c r="K353" s="4">
        <v>2</v>
      </c>
      <c r="L353" s="5">
        <v>500</v>
      </c>
      <c r="M353" s="5">
        <f xml:space="preserve"> K353*L353</f>
        <v>1000</v>
      </c>
      <c r="N353" s="14">
        <f xml:space="preserve"> M353 * $Q$3</f>
        <v>15</v>
      </c>
      <c r="O353" s="5"/>
    </row>
    <row r="354" spans="1:15">
      <c r="A354" s="2">
        <v>353</v>
      </c>
      <c r="B354" s="4">
        <f>DAY(E354)</f>
        <v>14</v>
      </c>
      <c r="C354" s="4">
        <f>MONTH(E354)</f>
        <v>5</v>
      </c>
      <c r="D354" s="4">
        <f>YEAR(E354)</f>
        <v>2023</v>
      </c>
      <c r="E354" s="17">
        <v>45060</v>
      </c>
      <c r="F354" s="4" t="s">
        <v>376</v>
      </c>
      <c r="G354" s="4" t="s">
        <v>15</v>
      </c>
      <c r="H354" s="4">
        <v>31</v>
      </c>
      <c r="I354" s="4" t="str" cm="1">
        <f t="array" ref="I354">_xlfn.IFS(
  H354&lt;30,"Young Adult",
  H354&lt;50,"Adult",
  H354&gt;=50,"Senior"
)</f>
        <v>Adult</v>
      </c>
      <c r="J354" s="4" t="s">
        <v>23</v>
      </c>
      <c r="K354" s="4">
        <v>1</v>
      </c>
      <c r="L354" s="5">
        <v>500</v>
      </c>
      <c r="M354" s="5">
        <f xml:space="preserve"> K354*L354</f>
        <v>500</v>
      </c>
      <c r="N354" s="14">
        <f xml:space="preserve"> M354 * $Q$3</f>
        <v>7.5</v>
      </c>
      <c r="O354" s="5"/>
    </row>
    <row r="355" spans="1:15">
      <c r="A355" s="2">
        <v>354</v>
      </c>
      <c r="B355" s="4">
        <f>DAY(E355)</f>
        <v>15</v>
      </c>
      <c r="C355" s="4">
        <f>MONTH(E355)</f>
        <v>4</v>
      </c>
      <c r="D355" s="4">
        <f>YEAR(E355)</f>
        <v>2023</v>
      </c>
      <c r="E355" s="17">
        <v>45031</v>
      </c>
      <c r="F355" s="4" t="s">
        <v>377</v>
      </c>
      <c r="G355" s="4" t="s">
        <v>19</v>
      </c>
      <c r="H355" s="4">
        <v>49</v>
      </c>
      <c r="I355" s="4" t="str" cm="1">
        <f t="array" ref="I355">_xlfn.IFS(
  H355&lt;30,"Young Adult",
  H355&lt;50,"Adult",
  H355&gt;=50,"Senior"
)</f>
        <v>Adult</v>
      </c>
      <c r="J355" s="4" t="s">
        <v>16</v>
      </c>
      <c r="K355" s="4">
        <v>4</v>
      </c>
      <c r="L355" s="5">
        <v>50</v>
      </c>
      <c r="M355" s="5">
        <f xml:space="preserve"> K355*L355</f>
        <v>200</v>
      </c>
      <c r="N355" s="14">
        <f xml:space="preserve"> M355 * $Q$3</f>
        <v>3</v>
      </c>
      <c r="O355" s="5"/>
    </row>
    <row r="356" spans="1:15">
      <c r="A356" s="2">
        <v>355</v>
      </c>
      <c r="B356" s="4">
        <f>DAY(E356)</f>
        <v>9</v>
      </c>
      <c r="C356" s="4">
        <f>MONTH(E356)</f>
        <v>12</v>
      </c>
      <c r="D356" s="4">
        <f>YEAR(E356)</f>
        <v>2023</v>
      </c>
      <c r="E356" s="3">
        <v>45269</v>
      </c>
      <c r="F356" s="4" t="s">
        <v>378</v>
      </c>
      <c r="G356" s="4" t="s">
        <v>19</v>
      </c>
      <c r="H356" s="4">
        <v>55</v>
      </c>
      <c r="I356" s="4" t="str" cm="1">
        <f t="array" ref="I356">_xlfn.IFS(
  H356&lt;30,"Young Adult",
  H356&lt;50,"Adult",
  H356&gt;=50,"Senior"
)</f>
        <v>Senior</v>
      </c>
      <c r="J356" s="4" t="s">
        <v>23</v>
      </c>
      <c r="K356" s="4">
        <v>1</v>
      </c>
      <c r="L356" s="5">
        <v>500</v>
      </c>
      <c r="M356" s="5">
        <f xml:space="preserve"> K356*L356</f>
        <v>500</v>
      </c>
      <c r="N356" s="14">
        <f xml:space="preserve"> M356 * $Q$3</f>
        <v>7.5</v>
      </c>
      <c r="O356" s="5"/>
    </row>
    <row r="357" spans="1:15">
      <c r="A357" s="2">
        <v>356</v>
      </c>
      <c r="B357" s="4">
        <f>DAY(E357)</f>
        <v>10</v>
      </c>
      <c r="C357" s="4">
        <f>MONTH(E357)</f>
        <v>6</v>
      </c>
      <c r="D357" s="4">
        <f>YEAR(E357)</f>
        <v>2023</v>
      </c>
      <c r="E357" s="3">
        <v>45087</v>
      </c>
      <c r="F357" s="4" t="s">
        <v>379</v>
      </c>
      <c r="G357" s="4" t="s">
        <v>15</v>
      </c>
      <c r="H357" s="4">
        <v>50</v>
      </c>
      <c r="I357" s="4" t="str" cm="1">
        <f t="array" ref="I357">_xlfn.IFS(
  H357&lt;30,"Young Adult",
  H357&lt;50,"Adult",
  H357&gt;=50,"Senior"
)</f>
        <v>Senior</v>
      </c>
      <c r="J357" s="4" t="s">
        <v>23</v>
      </c>
      <c r="K357" s="4">
        <v>3</v>
      </c>
      <c r="L357" s="5">
        <v>500</v>
      </c>
      <c r="M357" s="5">
        <f xml:space="preserve"> K357*L357</f>
        <v>1500</v>
      </c>
      <c r="N357" s="14">
        <f xml:space="preserve"> M357 * $Q$3</f>
        <v>22.5</v>
      </c>
      <c r="O357" s="5"/>
    </row>
    <row r="358" spans="1:15">
      <c r="A358" s="2">
        <v>357</v>
      </c>
      <c r="B358" s="4">
        <f>DAY(E358)</f>
        <v>3</v>
      </c>
      <c r="C358" s="4">
        <f>MONTH(E358)</f>
        <v>5</v>
      </c>
      <c r="D358" s="4">
        <f>YEAR(E358)</f>
        <v>2023</v>
      </c>
      <c r="E358" s="17">
        <v>45049</v>
      </c>
      <c r="F358" s="4" t="s">
        <v>380</v>
      </c>
      <c r="G358" s="4" t="s">
        <v>19</v>
      </c>
      <c r="H358" s="4">
        <v>40</v>
      </c>
      <c r="I358" s="4" t="str" cm="1">
        <f t="array" ref="I358">_xlfn.IFS(
  H358&lt;30,"Young Adult",
  H358&lt;50,"Adult",
  H358&gt;=50,"Senior"
)</f>
        <v>Adult</v>
      </c>
      <c r="J358" s="4" t="s">
        <v>23</v>
      </c>
      <c r="K358" s="4">
        <v>3</v>
      </c>
      <c r="L358" s="5">
        <v>25</v>
      </c>
      <c r="M358" s="5">
        <f xml:space="preserve"> K358*L358</f>
        <v>75</v>
      </c>
      <c r="N358" s="14">
        <f xml:space="preserve"> M358 * $Q$3</f>
        <v>1.125</v>
      </c>
      <c r="O358" s="5"/>
    </row>
    <row r="359" spans="1:15">
      <c r="A359" s="2">
        <v>358</v>
      </c>
      <c r="B359" s="4">
        <f>DAY(E359)</f>
        <v>16</v>
      </c>
      <c r="C359" s="4">
        <f>MONTH(E359)</f>
        <v>5</v>
      </c>
      <c r="D359" s="4">
        <f>YEAR(E359)</f>
        <v>2023</v>
      </c>
      <c r="E359" s="17">
        <v>45062</v>
      </c>
      <c r="F359" s="4" t="s">
        <v>381</v>
      </c>
      <c r="G359" s="4" t="s">
        <v>19</v>
      </c>
      <c r="H359" s="4">
        <v>32</v>
      </c>
      <c r="I359" s="4" t="str" cm="1">
        <f t="array" ref="I359">_xlfn.IFS(
  H359&lt;30,"Young Adult",
  H359&lt;50,"Adult",
  H359&gt;=50,"Senior"
)</f>
        <v>Adult</v>
      </c>
      <c r="J359" s="4" t="s">
        <v>16</v>
      </c>
      <c r="K359" s="4">
        <v>1</v>
      </c>
      <c r="L359" s="5">
        <v>300</v>
      </c>
      <c r="M359" s="5">
        <f xml:space="preserve"> K359*L359</f>
        <v>300</v>
      </c>
      <c r="N359" s="14">
        <f xml:space="preserve"> M359 * $Q$3</f>
        <v>4.5</v>
      </c>
      <c r="O359" s="5"/>
    </row>
    <row r="360" spans="1:15">
      <c r="A360" s="2">
        <v>359</v>
      </c>
      <c r="B360" s="4">
        <f>DAY(E360)</f>
        <v>22</v>
      </c>
      <c r="C360" s="4">
        <f>MONTH(E360)</f>
        <v>7</v>
      </c>
      <c r="D360" s="4">
        <f>YEAR(E360)</f>
        <v>2023</v>
      </c>
      <c r="E360" s="3">
        <v>45129</v>
      </c>
      <c r="F360" s="4" t="s">
        <v>382</v>
      </c>
      <c r="G360" s="4" t="s">
        <v>15</v>
      </c>
      <c r="H360" s="4">
        <v>50</v>
      </c>
      <c r="I360" s="4" t="str" cm="1">
        <f t="array" ref="I360">_xlfn.IFS(
  H360&lt;30,"Young Adult",
  H360&lt;50,"Adult",
  H360&gt;=50,"Senior"
)</f>
        <v>Senior</v>
      </c>
      <c r="J360" s="4" t="s">
        <v>20</v>
      </c>
      <c r="K360" s="4">
        <v>1</v>
      </c>
      <c r="L360" s="5">
        <v>50</v>
      </c>
      <c r="M360" s="5">
        <f xml:space="preserve"> K360*L360</f>
        <v>50</v>
      </c>
      <c r="N360" s="14">
        <f xml:space="preserve"> M360 * $Q$3</f>
        <v>0.75</v>
      </c>
      <c r="O360" s="5"/>
    </row>
    <row r="361" spans="1:15">
      <c r="A361" s="2">
        <v>360</v>
      </c>
      <c r="B361" s="4">
        <f>DAY(E361)</f>
        <v>9</v>
      </c>
      <c r="C361" s="4">
        <f>MONTH(E361)</f>
        <v>3</v>
      </c>
      <c r="D361" s="4">
        <f>YEAR(E361)</f>
        <v>2023</v>
      </c>
      <c r="E361" s="17">
        <v>44994</v>
      </c>
      <c r="F361" s="4" t="s">
        <v>383</v>
      </c>
      <c r="G361" s="4" t="s">
        <v>15</v>
      </c>
      <c r="H361" s="4">
        <v>42</v>
      </c>
      <c r="I361" s="4" t="str" cm="1">
        <f t="array" ref="I361">_xlfn.IFS(
  H361&lt;30,"Young Adult",
  H361&lt;50,"Adult",
  H361&gt;=50,"Senior"
)</f>
        <v>Adult</v>
      </c>
      <c r="J361" s="4" t="s">
        <v>20</v>
      </c>
      <c r="K361" s="4">
        <v>4</v>
      </c>
      <c r="L361" s="5">
        <v>25</v>
      </c>
      <c r="M361" s="5">
        <f xml:space="preserve"> K361*L361</f>
        <v>100</v>
      </c>
      <c r="N361" s="14">
        <f xml:space="preserve"> M361 * $Q$3</f>
        <v>1.5</v>
      </c>
      <c r="O361" s="5"/>
    </row>
    <row r="362" spans="1:15">
      <c r="A362" s="2">
        <v>361</v>
      </c>
      <c r="B362" s="4">
        <f>DAY(E362)</f>
        <v>10</v>
      </c>
      <c r="C362" s="4">
        <f>MONTH(E362)</f>
        <v>12</v>
      </c>
      <c r="D362" s="4">
        <f>YEAR(E362)</f>
        <v>2023</v>
      </c>
      <c r="E362" s="3">
        <v>45270</v>
      </c>
      <c r="F362" s="4" t="s">
        <v>384</v>
      </c>
      <c r="G362" s="4" t="s">
        <v>19</v>
      </c>
      <c r="H362" s="4">
        <v>34</v>
      </c>
      <c r="I362" s="4" t="str" cm="1">
        <f t="array" ref="I362">_xlfn.IFS(
  H362&lt;30,"Young Adult",
  H362&lt;50,"Adult",
  H362&gt;=50,"Senior"
)</f>
        <v>Adult</v>
      </c>
      <c r="J362" s="4" t="s">
        <v>23</v>
      </c>
      <c r="K362" s="4">
        <v>4</v>
      </c>
      <c r="L362" s="5">
        <v>300</v>
      </c>
      <c r="M362" s="5">
        <f xml:space="preserve"> K362*L362</f>
        <v>1200</v>
      </c>
      <c r="N362" s="14">
        <f xml:space="preserve"> M362 * $Q$3</f>
        <v>18</v>
      </c>
      <c r="O362" s="5"/>
    </row>
    <row r="363" spans="1:15">
      <c r="A363" s="2">
        <v>362</v>
      </c>
      <c r="B363" s="4">
        <f>DAY(E363)</f>
        <v>27</v>
      </c>
      <c r="C363" s="4">
        <f>MONTH(E363)</f>
        <v>11</v>
      </c>
      <c r="D363" s="4">
        <f>YEAR(E363)</f>
        <v>2023</v>
      </c>
      <c r="E363" s="3">
        <v>45257</v>
      </c>
      <c r="F363" s="4" t="s">
        <v>385</v>
      </c>
      <c r="G363" s="4" t="s">
        <v>15</v>
      </c>
      <c r="H363" s="4">
        <v>50</v>
      </c>
      <c r="I363" s="4" t="str" cm="1">
        <f t="array" ref="I363">_xlfn.IFS(
  H363&lt;30,"Young Adult",
  H363&lt;50,"Adult",
  H363&gt;=50,"Senior"
)</f>
        <v>Senior</v>
      </c>
      <c r="J363" s="4" t="s">
        <v>20</v>
      </c>
      <c r="K363" s="4">
        <v>1</v>
      </c>
      <c r="L363" s="5">
        <v>25</v>
      </c>
      <c r="M363" s="5">
        <f xml:space="preserve"> K363*L363</f>
        <v>25</v>
      </c>
      <c r="N363" s="14">
        <f xml:space="preserve"> M363 * $Q$3</f>
        <v>0.375</v>
      </c>
      <c r="O363" s="5"/>
    </row>
    <row r="364" spans="1:15">
      <c r="A364" s="2">
        <v>363</v>
      </c>
      <c r="B364" s="4">
        <f>DAY(E364)</f>
        <v>3</v>
      </c>
      <c r="C364" s="4">
        <f>MONTH(E364)</f>
        <v>6</v>
      </c>
      <c r="D364" s="4">
        <f>YEAR(E364)</f>
        <v>2023</v>
      </c>
      <c r="E364" s="3">
        <v>45080</v>
      </c>
      <c r="F364" s="4" t="s">
        <v>386</v>
      </c>
      <c r="G364" s="4" t="s">
        <v>15</v>
      </c>
      <c r="H364" s="4">
        <v>64</v>
      </c>
      <c r="I364" s="4" t="str" cm="1">
        <f t="array" ref="I364">_xlfn.IFS(
  H364&lt;30,"Young Adult",
  H364&lt;50,"Adult",
  H364&gt;=50,"Senior"
)</f>
        <v>Senior</v>
      </c>
      <c r="J364" s="4" t="s">
        <v>16</v>
      </c>
      <c r="K364" s="4">
        <v>1</v>
      </c>
      <c r="L364" s="5">
        <v>25</v>
      </c>
      <c r="M364" s="5">
        <f xml:space="preserve"> K364*L364</f>
        <v>25</v>
      </c>
      <c r="N364" s="14">
        <f xml:space="preserve"> M364 * $Q$3</f>
        <v>0.375</v>
      </c>
      <c r="O364" s="5"/>
    </row>
    <row r="365" spans="1:15">
      <c r="A365" s="2">
        <v>364</v>
      </c>
      <c r="B365" s="4">
        <f>DAY(E365)</f>
        <v>23</v>
      </c>
      <c r="C365" s="4">
        <f>MONTH(E365)</f>
        <v>8</v>
      </c>
      <c r="D365" s="4">
        <f>YEAR(E365)</f>
        <v>2023</v>
      </c>
      <c r="E365" s="3">
        <v>45161</v>
      </c>
      <c r="F365" s="4" t="s">
        <v>387</v>
      </c>
      <c r="G365" s="4" t="s">
        <v>19</v>
      </c>
      <c r="H365" s="4">
        <v>19</v>
      </c>
      <c r="I365" s="4" t="str" cm="1">
        <f t="array" ref="I365">_xlfn.IFS(
  H365&lt;30,"Young Adult",
  H365&lt;50,"Adult",
  H365&gt;=50,"Senior"
)</f>
        <v>Young Adult</v>
      </c>
      <c r="J365" s="4" t="s">
        <v>16</v>
      </c>
      <c r="K365" s="4">
        <v>1</v>
      </c>
      <c r="L365" s="5">
        <v>500</v>
      </c>
      <c r="M365" s="5">
        <f xml:space="preserve"> K365*L365</f>
        <v>500</v>
      </c>
      <c r="N365" s="14">
        <f xml:space="preserve"> M365 * $Q$3</f>
        <v>7.5</v>
      </c>
      <c r="O365" s="5"/>
    </row>
    <row r="366" spans="1:15">
      <c r="A366" s="2">
        <v>365</v>
      </c>
      <c r="B366" s="4">
        <f>DAY(E366)</f>
        <v>11</v>
      </c>
      <c r="C366" s="4">
        <f>MONTH(E366)</f>
        <v>6</v>
      </c>
      <c r="D366" s="4">
        <f>YEAR(E366)</f>
        <v>2023</v>
      </c>
      <c r="E366" s="3">
        <v>45088</v>
      </c>
      <c r="F366" s="4" t="s">
        <v>388</v>
      </c>
      <c r="G366" s="4" t="s">
        <v>15</v>
      </c>
      <c r="H366" s="4">
        <v>31</v>
      </c>
      <c r="I366" s="4" t="str" cm="1">
        <f t="array" ref="I366">_xlfn.IFS(
  H366&lt;30,"Young Adult",
  H366&lt;50,"Adult",
  H366&gt;=50,"Senior"
)</f>
        <v>Adult</v>
      </c>
      <c r="J366" s="4" t="s">
        <v>20</v>
      </c>
      <c r="K366" s="4">
        <v>1</v>
      </c>
      <c r="L366" s="5">
        <v>300</v>
      </c>
      <c r="M366" s="5">
        <f xml:space="preserve"> K366*L366</f>
        <v>300</v>
      </c>
      <c r="N366" s="14">
        <f xml:space="preserve"> M366 * $Q$3</f>
        <v>4.5</v>
      </c>
      <c r="O366" s="5"/>
    </row>
    <row r="367" spans="1:15">
      <c r="A367" s="2">
        <v>366</v>
      </c>
      <c r="B367" s="4">
        <f>DAY(E367)</f>
        <v>7</v>
      </c>
      <c r="C367" s="4">
        <f>MONTH(E367)</f>
        <v>2</v>
      </c>
      <c r="D367" s="4">
        <f>YEAR(E367)</f>
        <v>2023</v>
      </c>
      <c r="E367" s="3">
        <v>44964</v>
      </c>
      <c r="F367" s="4" t="s">
        <v>389</v>
      </c>
      <c r="G367" s="4" t="s">
        <v>15</v>
      </c>
      <c r="H367" s="4">
        <v>57</v>
      </c>
      <c r="I367" s="4" t="str" cm="1">
        <f t="array" ref="I367">_xlfn.IFS(
  H367&lt;30,"Young Adult",
  H367&lt;50,"Adult",
  H367&gt;=50,"Senior"
)</f>
        <v>Senior</v>
      </c>
      <c r="J367" s="4" t="s">
        <v>20</v>
      </c>
      <c r="K367" s="4">
        <v>2</v>
      </c>
      <c r="L367" s="5">
        <v>50</v>
      </c>
      <c r="M367" s="5">
        <f xml:space="preserve"> K367*L367</f>
        <v>100</v>
      </c>
      <c r="N367" s="14">
        <f xml:space="preserve"> M367 * $Q$3</f>
        <v>1.5</v>
      </c>
      <c r="O367" s="5"/>
    </row>
    <row r="368" spans="1:15">
      <c r="A368" s="2">
        <v>367</v>
      </c>
      <c r="B368" s="4">
        <f>DAY(E368)</f>
        <v>5</v>
      </c>
      <c r="C368" s="4">
        <f>MONTH(E368)</f>
        <v>1</v>
      </c>
      <c r="D368" s="4">
        <f>YEAR(E368)</f>
        <v>2023</v>
      </c>
      <c r="E368" s="3">
        <v>44931</v>
      </c>
      <c r="F368" s="4" t="s">
        <v>390</v>
      </c>
      <c r="G368" s="4" t="s">
        <v>19</v>
      </c>
      <c r="H368" s="4">
        <v>57</v>
      </c>
      <c r="I368" s="4" t="str" cm="1">
        <f t="array" ref="I368">_xlfn.IFS(
  H368&lt;30,"Young Adult",
  H368&lt;50,"Adult",
  H368&gt;=50,"Senior"
)</f>
        <v>Senior</v>
      </c>
      <c r="J368" s="4" t="s">
        <v>23</v>
      </c>
      <c r="K368" s="4">
        <v>1</v>
      </c>
      <c r="L368" s="5">
        <v>50</v>
      </c>
      <c r="M368" s="5">
        <f xml:space="preserve"> K368*L368</f>
        <v>50</v>
      </c>
      <c r="N368" s="14">
        <f xml:space="preserve"> M368 * $Q$3</f>
        <v>0.75</v>
      </c>
      <c r="O368" s="5"/>
    </row>
    <row r="369" spans="1:15">
      <c r="A369" s="2">
        <v>368</v>
      </c>
      <c r="B369" s="4">
        <f>DAY(E369)</f>
        <v>23</v>
      </c>
      <c r="C369" s="4">
        <f>MONTH(E369)</f>
        <v>8</v>
      </c>
      <c r="D369" s="4">
        <f>YEAR(E369)</f>
        <v>2023</v>
      </c>
      <c r="E369" s="3">
        <v>45161</v>
      </c>
      <c r="F369" s="4" t="s">
        <v>391</v>
      </c>
      <c r="G369" s="4" t="s">
        <v>19</v>
      </c>
      <c r="H369" s="4">
        <v>56</v>
      </c>
      <c r="I369" s="4" t="str" cm="1">
        <f t="array" ref="I369">_xlfn.IFS(
  H369&lt;30,"Young Adult",
  H369&lt;50,"Adult",
  H369&gt;=50,"Senior"
)</f>
        <v>Senior</v>
      </c>
      <c r="J369" s="4" t="s">
        <v>20</v>
      </c>
      <c r="K369" s="4">
        <v>4</v>
      </c>
      <c r="L369" s="5">
        <v>300</v>
      </c>
      <c r="M369" s="5">
        <f xml:space="preserve"> K369*L369</f>
        <v>1200</v>
      </c>
      <c r="N369" s="14">
        <f xml:space="preserve"> M369 * $Q$3</f>
        <v>18</v>
      </c>
      <c r="O369" s="5"/>
    </row>
    <row r="370" spans="1:15">
      <c r="A370" s="2">
        <v>369</v>
      </c>
      <c r="B370" s="4">
        <f>DAY(E370)</f>
        <v>15</v>
      </c>
      <c r="C370" s="4">
        <f>MONTH(E370)</f>
        <v>11</v>
      </c>
      <c r="D370" s="4">
        <f>YEAR(E370)</f>
        <v>2023</v>
      </c>
      <c r="E370" s="3">
        <v>45245</v>
      </c>
      <c r="F370" s="4" t="s">
        <v>392</v>
      </c>
      <c r="G370" s="4" t="s">
        <v>15</v>
      </c>
      <c r="H370" s="4">
        <v>23</v>
      </c>
      <c r="I370" s="4" t="str" cm="1">
        <f t="array" ref="I370">_xlfn.IFS(
  H370&lt;30,"Young Adult",
  H370&lt;50,"Adult",
  H370&gt;=50,"Senior"
)</f>
        <v>Young Adult</v>
      </c>
      <c r="J370" s="4" t="s">
        <v>23</v>
      </c>
      <c r="K370" s="4">
        <v>3</v>
      </c>
      <c r="L370" s="5">
        <v>500</v>
      </c>
      <c r="M370" s="5">
        <f xml:space="preserve"> K370*L370</f>
        <v>1500</v>
      </c>
      <c r="N370" s="14">
        <f xml:space="preserve"> M370 * $Q$3</f>
        <v>22.5</v>
      </c>
      <c r="O370" s="5"/>
    </row>
    <row r="371" spans="1:15">
      <c r="A371" s="2">
        <v>370</v>
      </c>
      <c r="B371" s="4">
        <f>DAY(E371)</f>
        <v>16</v>
      </c>
      <c r="C371" s="4">
        <f>MONTH(E371)</f>
        <v>10</v>
      </c>
      <c r="D371" s="4">
        <f>YEAR(E371)</f>
        <v>2023</v>
      </c>
      <c r="E371" s="3">
        <v>45215</v>
      </c>
      <c r="F371" s="4" t="s">
        <v>393</v>
      </c>
      <c r="G371" s="4" t="s">
        <v>15</v>
      </c>
      <c r="H371" s="4">
        <v>23</v>
      </c>
      <c r="I371" s="4" t="str" cm="1">
        <f t="array" ref="I371">_xlfn.IFS(
  H371&lt;30,"Young Adult",
  H371&lt;50,"Adult",
  H371&gt;=50,"Senior"
)</f>
        <v>Young Adult</v>
      </c>
      <c r="J371" s="4" t="s">
        <v>23</v>
      </c>
      <c r="K371" s="4">
        <v>2</v>
      </c>
      <c r="L371" s="5">
        <v>30</v>
      </c>
      <c r="M371" s="5">
        <f xml:space="preserve"> K371*L371</f>
        <v>60</v>
      </c>
      <c r="N371" s="14">
        <f xml:space="preserve"> M371 * $Q$3</f>
        <v>0.89999999999999991</v>
      </c>
      <c r="O371" s="5"/>
    </row>
    <row r="372" spans="1:15">
      <c r="A372" s="2">
        <v>371</v>
      </c>
      <c r="B372" s="4">
        <f>DAY(E372)</f>
        <v>21</v>
      </c>
      <c r="C372" s="4">
        <f>MONTH(E372)</f>
        <v>2</v>
      </c>
      <c r="D372" s="4">
        <f>YEAR(E372)</f>
        <v>2023</v>
      </c>
      <c r="E372" s="3">
        <v>44978</v>
      </c>
      <c r="F372" s="4" t="s">
        <v>394</v>
      </c>
      <c r="G372" s="4" t="s">
        <v>19</v>
      </c>
      <c r="H372" s="4">
        <v>20</v>
      </c>
      <c r="I372" s="4" t="str" cm="1">
        <f t="array" ref="I372">_xlfn.IFS(
  H372&lt;30,"Young Adult",
  H372&lt;50,"Adult",
  H372&gt;=50,"Senior"
)</f>
        <v>Young Adult</v>
      </c>
      <c r="J372" s="4" t="s">
        <v>16</v>
      </c>
      <c r="K372" s="4">
        <v>1</v>
      </c>
      <c r="L372" s="5">
        <v>25</v>
      </c>
      <c r="M372" s="5">
        <f xml:space="preserve"> K372*L372</f>
        <v>25</v>
      </c>
      <c r="N372" s="14">
        <f xml:space="preserve"> M372 * $Q$3</f>
        <v>0.375</v>
      </c>
      <c r="O372" s="5"/>
    </row>
    <row r="373" spans="1:15">
      <c r="A373" s="2">
        <v>372</v>
      </c>
      <c r="B373" s="4">
        <f>DAY(E373)</f>
        <v>7</v>
      </c>
      <c r="C373" s="4">
        <f>MONTH(E373)</f>
        <v>2</v>
      </c>
      <c r="D373" s="4">
        <f>YEAR(E373)</f>
        <v>2023</v>
      </c>
      <c r="E373" s="3">
        <v>44964</v>
      </c>
      <c r="F373" s="4" t="s">
        <v>395</v>
      </c>
      <c r="G373" s="4" t="s">
        <v>19</v>
      </c>
      <c r="H373" s="4">
        <v>24</v>
      </c>
      <c r="I373" s="4" t="str" cm="1">
        <f t="array" ref="I373">_xlfn.IFS(
  H373&lt;30,"Young Adult",
  H373&lt;50,"Adult",
  H373&gt;=50,"Senior"
)</f>
        <v>Young Adult</v>
      </c>
      <c r="J373" s="4" t="s">
        <v>16</v>
      </c>
      <c r="K373" s="4">
        <v>3</v>
      </c>
      <c r="L373" s="5">
        <v>500</v>
      </c>
      <c r="M373" s="5">
        <f xml:space="preserve"> K373*L373</f>
        <v>1500</v>
      </c>
      <c r="N373" s="14">
        <f xml:space="preserve"> M373 * $Q$3</f>
        <v>22.5</v>
      </c>
      <c r="O373" s="5"/>
    </row>
    <row r="374" spans="1:15">
      <c r="A374" s="2">
        <v>373</v>
      </c>
      <c r="B374" s="4">
        <f>DAY(E374)</f>
        <v>3</v>
      </c>
      <c r="C374" s="4">
        <f>MONTH(E374)</f>
        <v>10</v>
      </c>
      <c r="D374" s="4">
        <f>YEAR(E374)</f>
        <v>2023</v>
      </c>
      <c r="E374" s="3">
        <v>45202</v>
      </c>
      <c r="F374" s="4" t="s">
        <v>396</v>
      </c>
      <c r="G374" s="4" t="s">
        <v>19</v>
      </c>
      <c r="H374" s="4">
        <v>25</v>
      </c>
      <c r="I374" s="4" t="str" cm="1">
        <f t="array" ref="I374">_xlfn.IFS(
  H374&lt;30,"Young Adult",
  H374&lt;50,"Adult",
  H374&gt;=50,"Senior"
)</f>
        <v>Young Adult</v>
      </c>
      <c r="J374" s="4" t="s">
        <v>16</v>
      </c>
      <c r="K374" s="4">
        <v>2</v>
      </c>
      <c r="L374" s="5">
        <v>300</v>
      </c>
      <c r="M374" s="5">
        <f xml:space="preserve"> K374*L374</f>
        <v>600</v>
      </c>
      <c r="N374" s="14">
        <f xml:space="preserve"> M374 * $Q$3</f>
        <v>9</v>
      </c>
      <c r="O374" s="5"/>
    </row>
    <row r="375" spans="1:15">
      <c r="A375" s="2">
        <v>374</v>
      </c>
      <c r="B375" s="4">
        <f>DAY(E375)</f>
        <v>20</v>
      </c>
      <c r="C375" s="4">
        <f>MONTH(E375)</f>
        <v>4</v>
      </c>
      <c r="D375" s="4">
        <f>YEAR(E375)</f>
        <v>2023</v>
      </c>
      <c r="E375" s="17">
        <v>45036</v>
      </c>
      <c r="F375" s="4" t="s">
        <v>397</v>
      </c>
      <c r="G375" s="4" t="s">
        <v>19</v>
      </c>
      <c r="H375" s="4">
        <v>59</v>
      </c>
      <c r="I375" s="4" t="str" cm="1">
        <f t="array" ref="I375">_xlfn.IFS(
  H375&lt;30,"Young Adult",
  H375&lt;50,"Adult",
  H375&gt;=50,"Senior"
)</f>
        <v>Senior</v>
      </c>
      <c r="J375" s="4" t="s">
        <v>16</v>
      </c>
      <c r="K375" s="4">
        <v>3</v>
      </c>
      <c r="L375" s="5">
        <v>25</v>
      </c>
      <c r="M375" s="5">
        <f xml:space="preserve"> K375*L375</f>
        <v>75</v>
      </c>
      <c r="N375" s="14">
        <f xml:space="preserve"> M375 * $Q$3</f>
        <v>1.125</v>
      </c>
      <c r="O375" s="5"/>
    </row>
    <row r="376" spans="1:15">
      <c r="A376" s="2">
        <v>375</v>
      </c>
      <c r="B376" s="4">
        <f>DAY(E376)</f>
        <v>17</v>
      </c>
      <c r="C376" s="4">
        <f>MONTH(E376)</f>
        <v>9</v>
      </c>
      <c r="D376" s="4">
        <f>YEAR(E376)</f>
        <v>2023</v>
      </c>
      <c r="E376" s="3">
        <v>45186</v>
      </c>
      <c r="F376" s="4" t="s">
        <v>398</v>
      </c>
      <c r="G376" s="4" t="s">
        <v>15</v>
      </c>
      <c r="H376" s="4">
        <v>32</v>
      </c>
      <c r="I376" s="4" t="str" cm="1">
        <f t="array" ref="I376">_xlfn.IFS(
  H376&lt;30,"Young Adult",
  H376&lt;50,"Adult",
  H376&gt;=50,"Senior"
)</f>
        <v>Adult</v>
      </c>
      <c r="J376" s="4" t="s">
        <v>20</v>
      </c>
      <c r="K376" s="4">
        <v>1</v>
      </c>
      <c r="L376" s="5">
        <v>50</v>
      </c>
      <c r="M376" s="5">
        <f xml:space="preserve"> K376*L376</f>
        <v>50</v>
      </c>
      <c r="N376" s="14">
        <f xml:space="preserve"> M376 * $Q$3</f>
        <v>0.75</v>
      </c>
      <c r="O376" s="5"/>
    </row>
    <row r="377" spans="1:15">
      <c r="A377" s="2">
        <v>376</v>
      </c>
      <c r="B377" s="4">
        <f>DAY(E377)</f>
        <v>16</v>
      </c>
      <c r="C377" s="4">
        <f>MONTH(E377)</f>
        <v>5</v>
      </c>
      <c r="D377" s="4">
        <f>YEAR(E377)</f>
        <v>2023</v>
      </c>
      <c r="E377" s="17">
        <v>45062</v>
      </c>
      <c r="F377" s="4" t="s">
        <v>399</v>
      </c>
      <c r="G377" s="4" t="s">
        <v>19</v>
      </c>
      <c r="H377" s="4">
        <v>64</v>
      </c>
      <c r="I377" s="4" t="str" cm="1">
        <f t="array" ref="I377">_xlfn.IFS(
  H377&lt;30,"Young Adult",
  H377&lt;50,"Adult",
  H377&gt;=50,"Senior"
)</f>
        <v>Senior</v>
      </c>
      <c r="J377" s="4" t="s">
        <v>16</v>
      </c>
      <c r="K377" s="4">
        <v>1</v>
      </c>
      <c r="L377" s="5">
        <v>30</v>
      </c>
      <c r="M377" s="5">
        <f xml:space="preserve"> K377*L377</f>
        <v>30</v>
      </c>
      <c r="N377" s="14">
        <f xml:space="preserve"> M377 * $Q$3</f>
        <v>0.44999999999999996</v>
      </c>
      <c r="O377" s="5"/>
    </row>
    <row r="378" spans="1:15">
      <c r="A378" s="2">
        <v>377</v>
      </c>
      <c r="B378" s="4">
        <f>DAY(E378)</f>
        <v>9</v>
      </c>
      <c r="C378" s="4">
        <f>MONTH(E378)</f>
        <v>3</v>
      </c>
      <c r="D378" s="4">
        <f>YEAR(E378)</f>
        <v>2023</v>
      </c>
      <c r="E378" s="17">
        <v>44994</v>
      </c>
      <c r="F378" s="4" t="s">
        <v>400</v>
      </c>
      <c r="G378" s="4" t="s">
        <v>19</v>
      </c>
      <c r="H378" s="4">
        <v>46</v>
      </c>
      <c r="I378" s="4" t="str" cm="1">
        <f t="array" ref="I378">_xlfn.IFS(
  H378&lt;30,"Young Adult",
  H378&lt;50,"Adult",
  H378&gt;=50,"Senior"
)</f>
        <v>Adult</v>
      </c>
      <c r="J378" s="4" t="s">
        <v>20</v>
      </c>
      <c r="K378" s="4">
        <v>4</v>
      </c>
      <c r="L378" s="5">
        <v>50</v>
      </c>
      <c r="M378" s="5">
        <f xml:space="preserve"> K378*L378</f>
        <v>200</v>
      </c>
      <c r="N378" s="14">
        <f xml:space="preserve"> M378 * $Q$3</f>
        <v>3</v>
      </c>
      <c r="O378" s="5"/>
    </row>
    <row r="379" spans="1:15">
      <c r="A379" s="2">
        <v>378</v>
      </c>
      <c r="B379" s="4">
        <f>DAY(E379)</f>
        <v>28</v>
      </c>
      <c r="C379" s="4">
        <f>MONTH(E379)</f>
        <v>6</v>
      </c>
      <c r="D379" s="4">
        <f>YEAR(E379)</f>
        <v>2023</v>
      </c>
      <c r="E379" s="3">
        <v>45105</v>
      </c>
      <c r="F379" s="4" t="s">
        <v>401</v>
      </c>
      <c r="G379" s="4" t="s">
        <v>15</v>
      </c>
      <c r="H379" s="4">
        <v>50</v>
      </c>
      <c r="I379" s="4" t="str" cm="1">
        <f t="array" ref="I379">_xlfn.IFS(
  H379&lt;30,"Young Adult",
  H379&lt;50,"Adult",
  H379&gt;=50,"Senior"
)</f>
        <v>Senior</v>
      </c>
      <c r="J379" s="4" t="s">
        <v>16</v>
      </c>
      <c r="K379" s="4">
        <v>1</v>
      </c>
      <c r="L379" s="5">
        <v>300</v>
      </c>
      <c r="M379" s="5">
        <f xml:space="preserve"> K379*L379</f>
        <v>300</v>
      </c>
      <c r="N379" s="14">
        <f xml:space="preserve"> M379 * $Q$3</f>
        <v>4.5</v>
      </c>
      <c r="O379" s="5"/>
    </row>
    <row r="380" spans="1:15">
      <c r="A380" s="2">
        <v>379</v>
      </c>
      <c r="B380" s="4">
        <f>DAY(E380)</f>
        <v>5</v>
      </c>
      <c r="C380" s="4">
        <f>MONTH(E380)</f>
        <v>2</v>
      </c>
      <c r="D380" s="4">
        <f>YEAR(E380)</f>
        <v>2023</v>
      </c>
      <c r="E380" s="3">
        <v>44962</v>
      </c>
      <c r="F380" s="4" t="s">
        <v>402</v>
      </c>
      <c r="G380" s="4" t="s">
        <v>19</v>
      </c>
      <c r="H380" s="4">
        <v>47</v>
      </c>
      <c r="I380" s="4" t="str" cm="1">
        <f t="array" ref="I380">_xlfn.IFS(
  H380&lt;30,"Young Adult",
  H380&lt;50,"Adult",
  H380&gt;=50,"Senior"
)</f>
        <v>Adult</v>
      </c>
      <c r="J380" s="4" t="s">
        <v>20</v>
      </c>
      <c r="K380" s="4">
        <v>1</v>
      </c>
      <c r="L380" s="5">
        <v>25</v>
      </c>
      <c r="M380" s="5">
        <f xml:space="preserve"> K380*L380</f>
        <v>25</v>
      </c>
      <c r="N380" s="14">
        <f xml:space="preserve"> M380 * $Q$3</f>
        <v>0.375</v>
      </c>
      <c r="O380" s="5"/>
    </row>
    <row r="381" spans="1:15">
      <c r="A381" s="2">
        <v>380</v>
      </c>
      <c r="B381" s="4">
        <f>DAY(E381)</f>
        <v>6</v>
      </c>
      <c r="C381" s="4">
        <f>MONTH(E381)</f>
        <v>5</v>
      </c>
      <c r="D381" s="4">
        <f>YEAR(E381)</f>
        <v>2023</v>
      </c>
      <c r="E381" s="17">
        <v>45052</v>
      </c>
      <c r="F381" s="4" t="s">
        <v>403</v>
      </c>
      <c r="G381" s="4" t="s">
        <v>15</v>
      </c>
      <c r="H381" s="4">
        <v>56</v>
      </c>
      <c r="I381" s="4" t="str" cm="1">
        <f t="array" ref="I381">_xlfn.IFS(
  H381&lt;30,"Young Adult",
  H381&lt;50,"Adult",
  H381&gt;=50,"Senior"
)</f>
        <v>Senior</v>
      </c>
      <c r="J381" s="4" t="s">
        <v>23</v>
      </c>
      <c r="K381" s="4">
        <v>2</v>
      </c>
      <c r="L381" s="5">
        <v>300</v>
      </c>
      <c r="M381" s="5">
        <f xml:space="preserve"> K381*L381</f>
        <v>600</v>
      </c>
      <c r="N381" s="14">
        <f xml:space="preserve"> M381 * $Q$3</f>
        <v>9</v>
      </c>
      <c r="O381" s="5"/>
    </row>
    <row r="382" spans="1:15">
      <c r="A382" s="2">
        <v>381</v>
      </c>
      <c r="B382" s="4">
        <f>DAY(E382)</f>
        <v>9</v>
      </c>
      <c r="C382" s="4">
        <f>MONTH(E382)</f>
        <v>7</v>
      </c>
      <c r="D382" s="4">
        <f>YEAR(E382)</f>
        <v>2023</v>
      </c>
      <c r="E382" s="3">
        <v>45116</v>
      </c>
      <c r="F382" s="4" t="s">
        <v>404</v>
      </c>
      <c r="G382" s="4" t="s">
        <v>19</v>
      </c>
      <c r="H382" s="4">
        <v>44</v>
      </c>
      <c r="I382" s="4" t="str" cm="1">
        <f t="array" ref="I382">_xlfn.IFS(
  H382&lt;30,"Young Adult",
  H382&lt;50,"Adult",
  H382&gt;=50,"Senior"
)</f>
        <v>Adult</v>
      </c>
      <c r="J382" s="4" t="s">
        <v>20</v>
      </c>
      <c r="K382" s="4">
        <v>4</v>
      </c>
      <c r="L382" s="5">
        <v>25</v>
      </c>
      <c r="M382" s="5">
        <f xml:space="preserve"> K382*L382</f>
        <v>100</v>
      </c>
      <c r="N382" s="14">
        <f xml:space="preserve"> M382 * $Q$3</f>
        <v>1.5</v>
      </c>
      <c r="O382" s="5"/>
    </row>
    <row r="383" spans="1:15">
      <c r="A383" s="2">
        <v>382</v>
      </c>
      <c r="B383" s="4">
        <f>DAY(E383)</f>
        <v>26</v>
      </c>
      <c r="C383" s="4">
        <f>MONTH(E383)</f>
        <v>5</v>
      </c>
      <c r="D383" s="4">
        <f>YEAR(E383)</f>
        <v>2023</v>
      </c>
      <c r="E383" s="17">
        <v>45072</v>
      </c>
      <c r="F383" s="4" t="s">
        <v>405</v>
      </c>
      <c r="G383" s="4" t="s">
        <v>19</v>
      </c>
      <c r="H383" s="4">
        <v>53</v>
      </c>
      <c r="I383" s="4" t="str" cm="1">
        <f t="array" ref="I383">_xlfn.IFS(
  H383&lt;30,"Young Adult",
  H383&lt;50,"Adult",
  H383&gt;=50,"Senior"
)</f>
        <v>Senior</v>
      </c>
      <c r="J383" s="4" t="s">
        <v>20</v>
      </c>
      <c r="K383" s="4">
        <v>2</v>
      </c>
      <c r="L383" s="5">
        <v>500</v>
      </c>
      <c r="M383" s="5">
        <f xml:space="preserve"> K383*L383</f>
        <v>1000</v>
      </c>
      <c r="N383" s="14">
        <f xml:space="preserve"> M383 * $Q$3</f>
        <v>15</v>
      </c>
      <c r="O383" s="5"/>
    </row>
    <row r="384" spans="1:15">
      <c r="A384" s="2">
        <v>383</v>
      </c>
      <c r="B384" s="4">
        <f>DAY(E384)</f>
        <v>22</v>
      </c>
      <c r="C384" s="4">
        <f>MONTH(E384)</f>
        <v>3</v>
      </c>
      <c r="D384" s="4">
        <f>YEAR(E384)</f>
        <v>2023</v>
      </c>
      <c r="E384" s="17">
        <v>45007</v>
      </c>
      <c r="F384" s="4" t="s">
        <v>406</v>
      </c>
      <c r="G384" s="4" t="s">
        <v>19</v>
      </c>
      <c r="H384" s="4">
        <v>46</v>
      </c>
      <c r="I384" s="4" t="str" cm="1">
        <f t="array" ref="I384">_xlfn.IFS(
  H384&lt;30,"Young Adult",
  H384&lt;50,"Adult",
  H384&gt;=50,"Senior"
)</f>
        <v>Adult</v>
      </c>
      <c r="J384" s="4" t="s">
        <v>16</v>
      </c>
      <c r="K384" s="4">
        <v>3</v>
      </c>
      <c r="L384" s="5">
        <v>30</v>
      </c>
      <c r="M384" s="5">
        <f xml:space="preserve"> K384*L384</f>
        <v>90</v>
      </c>
      <c r="N384" s="14">
        <f xml:space="preserve"> M384 * $Q$3</f>
        <v>1.3499999999999999</v>
      </c>
      <c r="O384" s="5"/>
    </row>
    <row r="385" spans="1:15">
      <c r="A385" s="2">
        <v>384</v>
      </c>
      <c r="B385" s="4">
        <f>DAY(E385)</f>
        <v>13</v>
      </c>
      <c r="C385" s="4">
        <f>MONTH(E385)</f>
        <v>8</v>
      </c>
      <c r="D385" s="4">
        <f>YEAR(E385)</f>
        <v>2023</v>
      </c>
      <c r="E385" s="3">
        <v>45151</v>
      </c>
      <c r="F385" s="4" t="s">
        <v>407</v>
      </c>
      <c r="G385" s="4" t="s">
        <v>15</v>
      </c>
      <c r="H385" s="4">
        <v>55</v>
      </c>
      <c r="I385" s="4" t="str" cm="1">
        <f t="array" ref="I385">_xlfn.IFS(
  H385&lt;30,"Young Adult",
  H385&lt;50,"Adult",
  H385&gt;=50,"Senior"
)</f>
        <v>Senior</v>
      </c>
      <c r="J385" s="4" t="s">
        <v>20</v>
      </c>
      <c r="K385" s="4">
        <v>1</v>
      </c>
      <c r="L385" s="5">
        <v>500</v>
      </c>
      <c r="M385" s="5">
        <f xml:space="preserve"> K385*L385</f>
        <v>500</v>
      </c>
      <c r="N385" s="14">
        <f xml:space="preserve"> M385 * $Q$3</f>
        <v>7.5</v>
      </c>
      <c r="O385" s="5"/>
    </row>
    <row r="386" spans="1:15">
      <c r="A386" s="2">
        <v>385</v>
      </c>
      <c r="B386" s="4">
        <f>DAY(E386)</f>
        <v>6</v>
      </c>
      <c r="C386" s="4">
        <f>MONTH(E386)</f>
        <v>10</v>
      </c>
      <c r="D386" s="4">
        <f>YEAR(E386)</f>
        <v>2023</v>
      </c>
      <c r="E386" s="3">
        <v>45205</v>
      </c>
      <c r="F386" s="4" t="s">
        <v>408</v>
      </c>
      <c r="G386" s="4" t="s">
        <v>15</v>
      </c>
      <c r="H386" s="4">
        <v>50</v>
      </c>
      <c r="I386" s="4" t="str" cm="1">
        <f t="array" ref="I386">_xlfn.IFS(
  H386&lt;30,"Young Adult",
  H386&lt;50,"Adult",
  H386&gt;=50,"Senior"
)</f>
        <v>Senior</v>
      </c>
      <c r="J386" s="4" t="s">
        <v>23</v>
      </c>
      <c r="K386" s="4">
        <v>3</v>
      </c>
      <c r="L386" s="5">
        <v>500</v>
      </c>
      <c r="M386" s="5">
        <f xml:space="preserve"> K386*L386</f>
        <v>1500</v>
      </c>
      <c r="N386" s="14">
        <f xml:space="preserve"> M386 * $Q$3</f>
        <v>22.5</v>
      </c>
      <c r="O386" s="5"/>
    </row>
    <row r="387" spans="1:15">
      <c r="A387" s="2">
        <v>386</v>
      </c>
      <c r="B387" s="4">
        <f>DAY(E387)</f>
        <v>27</v>
      </c>
      <c r="C387" s="4">
        <f>MONTH(E387)</f>
        <v>12</v>
      </c>
      <c r="D387" s="4">
        <f>YEAR(E387)</f>
        <v>2023</v>
      </c>
      <c r="E387" s="3">
        <v>45287</v>
      </c>
      <c r="F387" s="4" t="s">
        <v>409</v>
      </c>
      <c r="G387" s="4" t="s">
        <v>19</v>
      </c>
      <c r="H387" s="4">
        <v>54</v>
      </c>
      <c r="I387" s="4" t="str" cm="1">
        <f t="array" ref="I387">_xlfn.IFS(
  H387&lt;30,"Young Adult",
  H387&lt;50,"Adult",
  H387&gt;=50,"Senior"
)</f>
        <v>Senior</v>
      </c>
      <c r="J387" s="4" t="s">
        <v>23</v>
      </c>
      <c r="K387" s="4">
        <v>2</v>
      </c>
      <c r="L387" s="5">
        <v>300</v>
      </c>
      <c r="M387" s="5">
        <f xml:space="preserve"> K387*L387</f>
        <v>600</v>
      </c>
      <c r="N387" s="14">
        <f xml:space="preserve"> M387 * $Q$3</f>
        <v>9</v>
      </c>
      <c r="O387" s="5"/>
    </row>
    <row r="388" spans="1:15">
      <c r="A388" s="2">
        <v>387</v>
      </c>
      <c r="B388" s="4">
        <f>DAY(E388)</f>
        <v>4</v>
      </c>
      <c r="C388" s="4">
        <f>MONTH(E388)</f>
        <v>6</v>
      </c>
      <c r="D388" s="4">
        <f>YEAR(E388)</f>
        <v>2023</v>
      </c>
      <c r="E388" s="3">
        <v>45081</v>
      </c>
      <c r="F388" s="4" t="s">
        <v>410</v>
      </c>
      <c r="G388" s="4" t="s">
        <v>15</v>
      </c>
      <c r="H388" s="4">
        <v>44</v>
      </c>
      <c r="I388" s="4" t="str" cm="1">
        <f t="array" ref="I388">_xlfn.IFS(
  H388&lt;30,"Young Adult",
  H388&lt;50,"Adult",
  H388&gt;=50,"Senior"
)</f>
        <v>Adult</v>
      </c>
      <c r="J388" s="4" t="s">
        <v>16</v>
      </c>
      <c r="K388" s="4">
        <v>1</v>
      </c>
      <c r="L388" s="5">
        <v>30</v>
      </c>
      <c r="M388" s="5">
        <f xml:space="preserve"> K388*L388</f>
        <v>30</v>
      </c>
      <c r="N388" s="14">
        <f xml:space="preserve"> M388 * $Q$3</f>
        <v>0.44999999999999996</v>
      </c>
      <c r="O388" s="5"/>
    </row>
    <row r="389" spans="1:15">
      <c r="A389" s="2">
        <v>388</v>
      </c>
      <c r="B389" s="4">
        <f>DAY(E389)</f>
        <v>10</v>
      </c>
      <c r="C389" s="4">
        <f>MONTH(E389)</f>
        <v>11</v>
      </c>
      <c r="D389" s="4">
        <f>YEAR(E389)</f>
        <v>2023</v>
      </c>
      <c r="E389" s="3">
        <v>45240</v>
      </c>
      <c r="F389" s="4" t="s">
        <v>411</v>
      </c>
      <c r="G389" s="4" t="s">
        <v>15</v>
      </c>
      <c r="H389" s="4">
        <v>50</v>
      </c>
      <c r="I389" s="4" t="str" cm="1">
        <f t="array" ref="I389">_xlfn.IFS(
  H389&lt;30,"Young Adult",
  H389&lt;50,"Adult",
  H389&gt;=50,"Senior"
)</f>
        <v>Senior</v>
      </c>
      <c r="J389" s="4" t="s">
        <v>23</v>
      </c>
      <c r="K389" s="4">
        <v>1</v>
      </c>
      <c r="L389" s="5">
        <v>25</v>
      </c>
      <c r="M389" s="5">
        <f xml:space="preserve"> K389*L389</f>
        <v>25</v>
      </c>
      <c r="N389" s="14">
        <f xml:space="preserve"> M389 * $Q$3</f>
        <v>0.375</v>
      </c>
      <c r="O389" s="5"/>
    </row>
    <row r="390" spans="1:15">
      <c r="A390" s="2">
        <v>389</v>
      </c>
      <c r="B390" s="4">
        <f>DAY(E390)</f>
        <v>1</v>
      </c>
      <c r="C390" s="4">
        <f>MONTH(E390)</f>
        <v>12</v>
      </c>
      <c r="D390" s="4">
        <f>YEAR(E390)</f>
        <v>2023</v>
      </c>
      <c r="E390" s="3">
        <v>45261</v>
      </c>
      <c r="F390" s="4" t="s">
        <v>412</v>
      </c>
      <c r="G390" s="4" t="s">
        <v>15</v>
      </c>
      <c r="H390" s="4">
        <v>21</v>
      </c>
      <c r="I390" s="4" t="str" cm="1">
        <f t="array" ref="I390">_xlfn.IFS(
  H390&lt;30,"Young Adult",
  H390&lt;50,"Adult",
  H390&gt;=50,"Senior"
)</f>
        <v>Young Adult</v>
      </c>
      <c r="J390" s="4" t="s">
        <v>20</v>
      </c>
      <c r="K390" s="4">
        <v>2</v>
      </c>
      <c r="L390" s="5">
        <v>25</v>
      </c>
      <c r="M390" s="5">
        <f xml:space="preserve"> K390*L390</f>
        <v>50</v>
      </c>
      <c r="N390" s="14">
        <f xml:space="preserve"> M390 * $Q$3</f>
        <v>0.75</v>
      </c>
      <c r="O390" s="5"/>
    </row>
    <row r="391" spans="1:15">
      <c r="A391" s="2">
        <v>390</v>
      </c>
      <c r="B391" s="4">
        <f>DAY(E391)</f>
        <v>28</v>
      </c>
      <c r="C391" s="4">
        <f>MONTH(E391)</f>
        <v>9</v>
      </c>
      <c r="D391" s="4">
        <f>YEAR(E391)</f>
        <v>2023</v>
      </c>
      <c r="E391" s="3">
        <v>45197</v>
      </c>
      <c r="F391" s="4" t="s">
        <v>413</v>
      </c>
      <c r="G391" s="4" t="s">
        <v>15</v>
      </c>
      <c r="H391" s="4">
        <v>39</v>
      </c>
      <c r="I391" s="4" t="str" cm="1">
        <f t="array" ref="I391">_xlfn.IFS(
  H391&lt;30,"Young Adult",
  H391&lt;50,"Adult",
  H391&gt;=50,"Senior"
)</f>
        <v>Adult</v>
      </c>
      <c r="J391" s="4" t="s">
        <v>23</v>
      </c>
      <c r="K391" s="4">
        <v>2</v>
      </c>
      <c r="L391" s="5">
        <v>50</v>
      </c>
      <c r="M391" s="5">
        <f xml:space="preserve"> K391*L391</f>
        <v>100</v>
      </c>
      <c r="N391" s="14">
        <f xml:space="preserve"> M391 * $Q$3</f>
        <v>1.5</v>
      </c>
      <c r="O391" s="5"/>
    </row>
    <row r="392" spans="1:15">
      <c r="A392" s="2">
        <v>391</v>
      </c>
      <c r="B392" s="4">
        <f>DAY(E392)</f>
        <v>5</v>
      </c>
      <c r="C392" s="4">
        <f>MONTH(E392)</f>
        <v>1</v>
      </c>
      <c r="D392" s="4">
        <f>YEAR(E392)</f>
        <v>2023</v>
      </c>
      <c r="E392" s="3">
        <v>44931</v>
      </c>
      <c r="F392" s="4" t="s">
        <v>414</v>
      </c>
      <c r="G392" s="4" t="s">
        <v>15</v>
      </c>
      <c r="H392" s="4">
        <v>19</v>
      </c>
      <c r="I392" s="4" t="str" cm="1">
        <f t="array" ref="I392">_xlfn.IFS(
  H392&lt;30,"Young Adult",
  H392&lt;50,"Adult",
  H392&gt;=50,"Senior"
)</f>
        <v>Young Adult</v>
      </c>
      <c r="J392" s="4" t="s">
        <v>16</v>
      </c>
      <c r="K392" s="4">
        <v>2</v>
      </c>
      <c r="L392" s="5">
        <v>25</v>
      </c>
      <c r="M392" s="5">
        <f xml:space="preserve"> K392*L392</f>
        <v>50</v>
      </c>
      <c r="N392" s="14">
        <f xml:space="preserve"> M392 * $Q$3</f>
        <v>0.75</v>
      </c>
      <c r="O392" s="5"/>
    </row>
    <row r="393" spans="1:15">
      <c r="A393" s="2">
        <v>392</v>
      </c>
      <c r="B393" s="4">
        <f>DAY(E393)</f>
        <v>8</v>
      </c>
      <c r="C393" s="4">
        <f>MONTH(E393)</f>
        <v>12</v>
      </c>
      <c r="D393" s="4">
        <f>YEAR(E393)</f>
        <v>2023</v>
      </c>
      <c r="E393" s="3">
        <v>45268</v>
      </c>
      <c r="F393" s="4" t="s">
        <v>415</v>
      </c>
      <c r="G393" s="4" t="s">
        <v>15</v>
      </c>
      <c r="H393" s="4">
        <v>27</v>
      </c>
      <c r="I393" s="4" t="str" cm="1">
        <f t="array" ref="I393">_xlfn.IFS(
  H393&lt;30,"Young Adult",
  H393&lt;50,"Adult",
  H393&gt;=50,"Senior"
)</f>
        <v>Young Adult</v>
      </c>
      <c r="J393" s="4" t="s">
        <v>20</v>
      </c>
      <c r="K393" s="4">
        <v>2</v>
      </c>
      <c r="L393" s="5">
        <v>300</v>
      </c>
      <c r="M393" s="5">
        <f xml:space="preserve"> K393*L393</f>
        <v>600</v>
      </c>
      <c r="N393" s="14">
        <f xml:space="preserve"> M393 * $Q$3</f>
        <v>9</v>
      </c>
      <c r="O393" s="5"/>
    </row>
    <row r="394" spans="1:15">
      <c r="A394" s="2">
        <v>393</v>
      </c>
      <c r="B394" s="4">
        <f>DAY(E394)</f>
        <v>11</v>
      </c>
      <c r="C394" s="4">
        <f>MONTH(E394)</f>
        <v>10</v>
      </c>
      <c r="D394" s="4">
        <f>YEAR(E394)</f>
        <v>2023</v>
      </c>
      <c r="E394" s="3">
        <v>45210</v>
      </c>
      <c r="F394" s="4" t="s">
        <v>416</v>
      </c>
      <c r="G394" s="4" t="s">
        <v>19</v>
      </c>
      <c r="H394" s="4">
        <v>22</v>
      </c>
      <c r="I394" s="4" t="str" cm="1">
        <f t="array" ref="I394">_xlfn.IFS(
  H394&lt;30,"Young Adult",
  H394&lt;50,"Adult",
  H394&gt;=50,"Senior"
)</f>
        <v>Young Adult</v>
      </c>
      <c r="J394" s="4" t="s">
        <v>16</v>
      </c>
      <c r="K394" s="4">
        <v>2</v>
      </c>
      <c r="L394" s="5">
        <v>500</v>
      </c>
      <c r="M394" s="5">
        <f xml:space="preserve"> K394*L394</f>
        <v>1000</v>
      </c>
      <c r="N394" s="14">
        <f xml:space="preserve"> M394 * $Q$3</f>
        <v>15</v>
      </c>
      <c r="O394" s="5"/>
    </row>
    <row r="395" spans="1:15">
      <c r="A395" s="2">
        <v>394</v>
      </c>
      <c r="B395" s="4">
        <f>DAY(E395)</f>
        <v>3</v>
      </c>
      <c r="C395" s="4">
        <f>MONTH(E395)</f>
        <v>6</v>
      </c>
      <c r="D395" s="4">
        <f>YEAR(E395)</f>
        <v>2023</v>
      </c>
      <c r="E395" s="3">
        <v>45080</v>
      </c>
      <c r="F395" s="4" t="s">
        <v>417</v>
      </c>
      <c r="G395" s="4" t="s">
        <v>19</v>
      </c>
      <c r="H395" s="4">
        <v>27</v>
      </c>
      <c r="I395" s="4" t="str" cm="1">
        <f t="array" ref="I395">_xlfn.IFS(
  H395&lt;30,"Young Adult",
  H395&lt;50,"Adult",
  H395&gt;=50,"Senior"
)</f>
        <v>Young Adult</v>
      </c>
      <c r="J395" s="4" t="s">
        <v>20</v>
      </c>
      <c r="K395" s="4">
        <v>1</v>
      </c>
      <c r="L395" s="5">
        <v>500</v>
      </c>
      <c r="M395" s="5">
        <f xml:space="preserve"> K395*L395</f>
        <v>500</v>
      </c>
      <c r="N395" s="14">
        <f xml:space="preserve"> M395 * $Q$3</f>
        <v>7.5</v>
      </c>
      <c r="O395" s="5"/>
    </row>
    <row r="396" spans="1:15">
      <c r="A396" s="2">
        <v>395</v>
      </c>
      <c r="B396" s="4">
        <f>DAY(E396)</f>
        <v>6</v>
      </c>
      <c r="C396" s="4">
        <f>MONTH(E396)</f>
        <v>12</v>
      </c>
      <c r="D396" s="4">
        <f>YEAR(E396)</f>
        <v>2023</v>
      </c>
      <c r="E396" s="3">
        <v>45266</v>
      </c>
      <c r="F396" s="4" t="s">
        <v>418</v>
      </c>
      <c r="G396" s="4" t="s">
        <v>15</v>
      </c>
      <c r="H396" s="4">
        <v>50</v>
      </c>
      <c r="I396" s="4" t="str" cm="1">
        <f t="array" ref="I396">_xlfn.IFS(
  H396&lt;30,"Young Adult",
  H396&lt;50,"Adult",
  H396&gt;=50,"Senior"
)</f>
        <v>Senior</v>
      </c>
      <c r="J396" s="4" t="s">
        <v>23</v>
      </c>
      <c r="K396" s="4">
        <v>2</v>
      </c>
      <c r="L396" s="5">
        <v>500</v>
      </c>
      <c r="M396" s="5">
        <f xml:space="preserve"> K396*L396</f>
        <v>1000</v>
      </c>
      <c r="N396" s="14">
        <f xml:space="preserve"> M396 * $Q$3</f>
        <v>15</v>
      </c>
      <c r="O396" s="5"/>
    </row>
    <row r="397" spans="1:15">
      <c r="A397" s="2">
        <v>396</v>
      </c>
      <c r="B397" s="4">
        <f>DAY(E397)</f>
        <v>23</v>
      </c>
      <c r="C397" s="4">
        <f>MONTH(E397)</f>
        <v>2</v>
      </c>
      <c r="D397" s="4">
        <f>YEAR(E397)</f>
        <v>2023</v>
      </c>
      <c r="E397" s="3">
        <v>44980</v>
      </c>
      <c r="F397" s="4" t="s">
        <v>419</v>
      </c>
      <c r="G397" s="4" t="s">
        <v>19</v>
      </c>
      <c r="H397" s="4">
        <v>55</v>
      </c>
      <c r="I397" s="4" t="str" cm="1">
        <f t="array" ref="I397">_xlfn.IFS(
  H397&lt;30,"Young Adult",
  H397&lt;50,"Adult",
  H397&gt;=50,"Senior"
)</f>
        <v>Senior</v>
      </c>
      <c r="J397" s="4" t="s">
        <v>16</v>
      </c>
      <c r="K397" s="4">
        <v>1</v>
      </c>
      <c r="L397" s="5">
        <v>30</v>
      </c>
      <c r="M397" s="5">
        <f xml:space="preserve"> K397*L397</f>
        <v>30</v>
      </c>
      <c r="N397" s="14">
        <f xml:space="preserve"> M397 * $Q$3</f>
        <v>0.44999999999999996</v>
      </c>
      <c r="O397" s="5"/>
    </row>
    <row r="398" spans="1:15">
      <c r="A398" s="2">
        <v>397</v>
      </c>
      <c r="B398" s="4">
        <f>DAY(E398)</f>
        <v>10</v>
      </c>
      <c r="C398" s="4">
        <f>MONTH(E398)</f>
        <v>3</v>
      </c>
      <c r="D398" s="4">
        <f>YEAR(E398)</f>
        <v>2023</v>
      </c>
      <c r="E398" s="17">
        <v>44995</v>
      </c>
      <c r="F398" s="4" t="s">
        <v>420</v>
      </c>
      <c r="G398" s="4" t="s">
        <v>19</v>
      </c>
      <c r="H398" s="4">
        <v>30</v>
      </c>
      <c r="I398" s="4" t="str" cm="1">
        <f t="array" ref="I398">_xlfn.IFS(
  H398&lt;30,"Young Adult",
  H398&lt;50,"Adult",
  H398&gt;=50,"Senior"
)</f>
        <v>Adult</v>
      </c>
      <c r="J398" s="4" t="s">
        <v>16</v>
      </c>
      <c r="K398" s="4">
        <v>1</v>
      </c>
      <c r="L398" s="5">
        <v>25</v>
      </c>
      <c r="M398" s="5">
        <f xml:space="preserve"> K398*L398</f>
        <v>25</v>
      </c>
      <c r="N398" s="14">
        <f xml:space="preserve"> M398 * $Q$3</f>
        <v>0.375</v>
      </c>
      <c r="O398" s="5"/>
    </row>
    <row r="399" spans="1:15">
      <c r="A399" s="2">
        <v>398</v>
      </c>
      <c r="B399" s="4">
        <f>DAY(E399)</f>
        <v>16</v>
      </c>
      <c r="C399" s="4">
        <f>MONTH(E399)</f>
        <v>5</v>
      </c>
      <c r="D399" s="4">
        <f>YEAR(E399)</f>
        <v>2023</v>
      </c>
      <c r="E399" s="17">
        <v>45062</v>
      </c>
      <c r="F399" s="4" t="s">
        <v>421</v>
      </c>
      <c r="G399" s="4" t="s">
        <v>19</v>
      </c>
      <c r="H399" s="4">
        <v>48</v>
      </c>
      <c r="I399" s="4" t="str" cm="1">
        <f t="array" ref="I399">_xlfn.IFS(
  H399&lt;30,"Young Adult",
  H399&lt;50,"Adult",
  H399&gt;=50,"Senior"
)</f>
        <v>Adult</v>
      </c>
      <c r="J399" s="4" t="s">
        <v>20</v>
      </c>
      <c r="K399" s="4">
        <v>2</v>
      </c>
      <c r="L399" s="5">
        <v>300</v>
      </c>
      <c r="M399" s="5">
        <f xml:space="preserve"> K399*L399</f>
        <v>600</v>
      </c>
      <c r="N399" s="14">
        <f xml:space="preserve"> M399 * $Q$3</f>
        <v>9</v>
      </c>
      <c r="O399" s="5"/>
    </row>
    <row r="400" spans="1:15">
      <c r="A400" s="2">
        <v>399</v>
      </c>
      <c r="B400" s="4">
        <f>DAY(E400)</f>
        <v>1</v>
      </c>
      <c r="C400" s="4">
        <f>MONTH(E400)</f>
        <v>3</v>
      </c>
      <c r="D400" s="4">
        <f>YEAR(E400)</f>
        <v>2023</v>
      </c>
      <c r="E400" s="17">
        <v>44986</v>
      </c>
      <c r="F400" s="4" t="s">
        <v>422</v>
      </c>
      <c r="G400" s="4" t="s">
        <v>19</v>
      </c>
      <c r="H400" s="4">
        <v>64</v>
      </c>
      <c r="I400" s="4" t="str" cm="1">
        <f t="array" ref="I400">_xlfn.IFS(
  H400&lt;30,"Young Adult",
  H400&lt;50,"Adult",
  H400&gt;=50,"Senior"
)</f>
        <v>Senior</v>
      </c>
      <c r="J400" s="4" t="s">
        <v>16</v>
      </c>
      <c r="K400" s="4">
        <v>2</v>
      </c>
      <c r="L400" s="5">
        <v>30</v>
      </c>
      <c r="M400" s="5">
        <f xml:space="preserve"> K400*L400</f>
        <v>60</v>
      </c>
      <c r="N400" s="14">
        <f xml:space="preserve"> M400 * $Q$3</f>
        <v>0.89999999999999991</v>
      </c>
      <c r="O400" s="5"/>
    </row>
    <row r="401" spans="1:15">
      <c r="A401" s="2">
        <v>400</v>
      </c>
      <c r="B401" s="4">
        <f>DAY(E401)</f>
        <v>24</v>
      </c>
      <c r="C401" s="4">
        <f>MONTH(E401)</f>
        <v>2</v>
      </c>
      <c r="D401" s="4">
        <f>YEAR(E401)</f>
        <v>2023</v>
      </c>
      <c r="E401" s="3">
        <v>44981</v>
      </c>
      <c r="F401" s="4" t="s">
        <v>423</v>
      </c>
      <c r="G401" s="4" t="s">
        <v>15</v>
      </c>
      <c r="H401" s="4">
        <v>53</v>
      </c>
      <c r="I401" s="4" t="str" cm="1">
        <f t="array" ref="I401">_xlfn.IFS(
  H401&lt;30,"Young Adult",
  H401&lt;50,"Adult",
  H401&gt;=50,"Senior"
)</f>
        <v>Senior</v>
      </c>
      <c r="J401" s="4" t="s">
        <v>20</v>
      </c>
      <c r="K401" s="4">
        <v>4</v>
      </c>
      <c r="L401" s="5">
        <v>50</v>
      </c>
      <c r="M401" s="5">
        <f xml:space="preserve"> K401*L401</f>
        <v>200</v>
      </c>
      <c r="N401" s="14">
        <f xml:space="preserve"> M401 * $Q$3</f>
        <v>3</v>
      </c>
      <c r="O401" s="5"/>
    </row>
    <row r="402" spans="1:15">
      <c r="A402" s="2">
        <v>401</v>
      </c>
      <c r="B402" s="4">
        <f>DAY(E402)</f>
        <v>11</v>
      </c>
      <c r="C402" s="4">
        <f>MONTH(E402)</f>
        <v>10</v>
      </c>
      <c r="D402" s="4">
        <f>YEAR(E402)</f>
        <v>2023</v>
      </c>
      <c r="E402" s="3">
        <v>45210</v>
      </c>
      <c r="F402" s="4" t="s">
        <v>424</v>
      </c>
      <c r="G402" s="4" t="s">
        <v>19</v>
      </c>
      <c r="H402" s="4">
        <v>62</v>
      </c>
      <c r="I402" s="4" t="str" cm="1">
        <f t="array" ref="I402">_xlfn.IFS(
  H402&lt;30,"Young Adult",
  H402&lt;50,"Adult",
  H402&gt;=50,"Senior"
)</f>
        <v>Senior</v>
      </c>
      <c r="J402" s="4" t="s">
        <v>20</v>
      </c>
      <c r="K402" s="4">
        <v>1</v>
      </c>
      <c r="L402" s="5">
        <v>300</v>
      </c>
      <c r="M402" s="5">
        <f xml:space="preserve"> K402*L402</f>
        <v>300</v>
      </c>
      <c r="N402" s="14">
        <f xml:space="preserve"> M402 * $Q$3</f>
        <v>4.5</v>
      </c>
      <c r="O402" s="5"/>
    </row>
    <row r="403" spans="1:15">
      <c r="A403" s="2">
        <v>402</v>
      </c>
      <c r="B403" s="4">
        <f>DAY(E403)</f>
        <v>21</v>
      </c>
      <c r="C403" s="4">
        <f>MONTH(E403)</f>
        <v>3</v>
      </c>
      <c r="D403" s="4">
        <f>YEAR(E403)</f>
        <v>2023</v>
      </c>
      <c r="E403" s="17">
        <v>45006</v>
      </c>
      <c r="F403" s="4" t="s">
        <v>425</v>
      </c>
      <c r="G403" s="4" t="s">
        <v>19</v>
      </c>
      <c r="H403" s="4">
        <v>41</v>
      </c>
      <c r="I403" s="4" t="str" cm="1">
        <f t="array" ref="I403">_xlfn.IFS(
  H403&lt;30,"Young Adult",
  H403&lt;50,"Adult",
  H403&gt;=50,"Senior"
)</f>
        <v>Adult</v>
      </c>
      <c r="J403" s="4" t="s">
        <v>20</v>
      </c>
      <c r="K403" s="4">
        <v>2</v>
      </c>
      <c r="L403" s="5">
        <v>300</v>
      </c>
      <c r="M403" s="5">
        <f xml:space="preserve"> K403*L403</f>
        <v>600</v>
      </c>
      <c r="N403" s="14">
        <f xml:space="preserve"> M403 * $Q$3</f>
        <v>9</v>
      </c>
      <c r="O403" s="5"/>
    </row>
    <row r="404" spans="1:15">
      <c r="A404" s="2">
        <v>403</v>
      </c>
      <c r="B404" s="4">
        <f>DAY(E404)</f>
        <v>20</v>
      </c>
      <c r="C404" s="4">
        <f>MONTH(E404)</f>
        <v>5</v>
      </c>
      <c r="D404" s="4">
        <f>YEAR(E404)</f>
        <v>2023</v>
      </c>
      <c r="E404" s="17">
        <v>45066</v>
      </c>
      <c r="F404" s="4" t="s">
        <v>426</v>
      </c>
      <c r="G404" s="4" t="s">
        <v>15</v>
      </c>
      <c r="H404" s="4">
        <v>32</v>
      </c>
      <c r="I404" s="4" t="str" cm="1">
        <f t="array" ref="I404">_xlfn.IFS(
  H404&lt;30,"Young Adult",
  H404&lt;50,"Adult",
  H404&gt;=50,"Senior"
)</f>
        <v>Adult</v>
      </c>
      <c r="J404" s="4" t="s">
        <v>20</v>
      </c>
      <c r="K404" s="4">
        <v>2</v>
      </c>
      <c r="L404" s="5">
        <v>300</v>
      </c>
      <c r="M404" s="5">
        <f xml:space="preserve"> K404*L404</f>
        <v>600</v>
      </c>
      <c r="N404" s="14">
        <f xml:space="preserve"> M404 * $Q$3</f>
        <v>9</v>
      </c>
      <c r="O404" s="5"/>
    </row>
    <row r="405" spans="1:15">
      <c r="A405" s="2">
        <v>404</v>
      </c>
      <c r="B405" s="4">
        <f>DAY(E405)</f>
        <v>25</v>
      </c>
      <c r="C405" s="4">
        <f>MONTH(E405)</f>
        <v>5</v>
      </c>
      <c r="D405" s="4">
        <f>YEAR(E405)</f>
        <v>2023</v>
      </c>
      <c r="E405" s="17">
        <v>45071</v>
      </c>
      <c r="F405" s="4" t="s">
        <v>427</v>
      </c>
      <c r="G405" s="4" t="s">
        <v>15</v>
      </c>
      <c r="H405" s="4">
        <v>46</v>
      </c>
      <c r="I405" s="4" t="str" cm="1">
        <f t="array" ref="I405">_xlfn.IFS(
  H405&lt;30,"Young Adult",
  H405&lt;50,"Adult",
  H405&gt;=50,"Senior"
)</f>
        <v>Adult</v>
      </c>
      <c r="J405" s="4" t="s">
        <v>23</v>
      </c>
      <c r="K405" s="4">
        <v>2</v>
      </c>
      <c r="L405" s="5">
        <v>500</v>
      </c>
      <c r="M405" s="5">
        <f xml:space="preserve"> K405*L405</f>
        <v>1000</v>
      </c>
      <c r="N405" s="14">
        <f xml:space="preserve"> M405 * $Q$3</f>
        <v>15</v>
      </c>
      <c r="O405" s="5"/>
    </row>
    <row r="406" spans="1:15">
      <c r="A406" s="2">
        <v>405</v>
      </c>
      <c r="B406" s="4">
        <f>DAY(E406)</f>
        <v>6</v>
      </c>
      <c r="C406" s="4">
        <f>MONTH(E406)</f>
        <v>11</v>
      </c>
      <c r="D406" s="4">
        <f>YEAR(E406)</f>
        <v>2023</v>
      </c>
      <c r="E406" s="3">
        <v>45236</v>
      </c>
      <c r="F406" s="4" t="s">
        <v>428</v>
      </c>
      <c r="G406" s="4" t="s">
        <v>19</v>
      </c>
      <c r="H406" s="4">
        <v>25</v>
      </c>
      <c r="I406" s="4" t="str" cm="1">
        <f t="array" ref="I406">_xlfn.IFS(
  H406&lt;30,"Young Adult",
  H406&lt;50,"Adult",
  H406&gt;=50,"Senior"
)</f>
        <v>Young Adult</v>
      </c>
      <c r="J406" s="4" t="s">
        <v>20</v>
      </c>
      <c r="K406" s="4">
        <v>4</v>
      </c>
      <c r="L406" s="5">
        <v>300</v>
      </c>
      <c r="M406" s="5">
        <f xml:space="preserve"> K406*L406</f>
        <v>1200</v>
      </c>
      <c r="N406" s="14">
        <f xml:space="preserve"> M406 * $Q$3</f>
        <v>18</v>
      </c>
      <c r="O406" s="5"/>
    </row>
    <row r="407" spans="1:15">
      <c r="A407" s="2">
        <v>406</v>
      </c>
      <c r="B407" s="4">
        <f>DAY(E407)</f>
        <v>18</v>
      </c>
      <c r="C407" s="4">
        <f>MONTH(E407)</f>
        <v>4</v>
      </c>
      <c r="D407" s="4">
        <f>YEAR(E407)</f>
        <v>2023</v>
      </c>
      <c r="E407" s="17">
        <v>45034</v>
      </c>
      <c r="F407" s="4" t="s">
        <v>429</v>
      </c>
      <c r="G407" s="4" t="s">
        <v>19</v>
      </c>
      <c r="H407" s="4">
        <v>22</v>
      </c>
      <c r="I407" s="4" t="str" cm="1">
        <f t="array" ref="I407">_xlfn.IFS(
  H407&lt;30,"Young Adult",
  H407&lt;50,"Adult",
  H407&gt;=50,"Senior"
)</f>
        <v>Young Adult</v>
      </c>
      <c r="J407" s="4" t="s">
        <v>16</v>
      </c>
      <c r="K407" s="4">
        <v>4</v>
      </c>
      <c r="L407" s="5">
        <v>25</v>
      </c>
      <c r="M407" s="5">
        <f xml:space="preserve"> K407*L407</f>
        <v>100</v>
      </c>
      <c r="N407" s="14">
        <f xml:space="preserve"> M407 * $Q$3</f>
        <v>1.5</v>
      </c>
      <c r="O407" s="5"/>
    </row>
    <row r="408" spans="1:15">
      <c r="A408" s="2">
        <v>407</v>
      </c>
      <c r="B408" s="4">
        <f>DAY(E408)</f>
        <v>25</v>
      </c>
      <c r="C408" s="4">
        <f>MONTH(E408)</f>
        <v>6</v>
      </c>
      <c r="D408" s="4">
        <f>YEAR(E408)</f>
        <v>2023</v>
      </c>
      <c r="E408" s="3">
        <v>45102</v>
      </c>
      <c r="F408" s="4" t="s">
        <v>430</v>
      </c>
      <c r="G408" s="4" t="s">
        <v>19</v>
      </c>
      <c r="H408" s="4">
        <v>46</v>
      </c>
      <c r="I408" s="4" t="str" cm="1">
        <f t="array" ref="I408">_xlfn.IFS(
  H408&lt;30,"Young Adult",
  H408&lt;50,"Adult",
  H408&gt;=50,"Senior"
)</f>
        <v>Adult</v>
      </c>
      <c r="J408" s="4" t="s">
        <v>23</v>
      </c>
      <c r="K408" s="4">
        <v>3</v>
      </c>
      <c r="L408" s="5">
        <v>300</v>
      </c>
      <c r="M408" s="5">
        <f xml:space="preserve"> K408*L408</f>
        <v>900</v>
      </c>
      <c r="N408" s="14">
        <f xml:space="preserve"> M408 * $Q$3</f>
        <v>13.5</v>
      </c>
      <c r="O408" s="5"/>
    </row>
    <row r="409" spans="1:15">
      <c r="A409" s="2">
        <v>408</v>
      </c>
      <c r="B409" s="4">
        <f>DAY(E409)</f>
        <v>15</v>
      </c>
      <c r="C409" s="4">
        <f>MONTH(E409)</f>
        <v>4</v>
      </c>
      <c r="D409" s="4">
        <f>YEAR(E409)</f>
        <v>2023</v>
      </c>
      <c r="E409" s="17">
        <v>45031</v>
      </c>
      <c r="F409" s="4" t="s">
        <v>431</v>
      </c>
      <c r="G409" s="4" t="s">
        <v>19</v>
      </c>
      <c r="H409" s="4">
        <v>64</v>
      </c>
      <c r="I409" s="4" t="str" cm="1">
        <f t="array" ref="I409">_xlfn.IFS(
  H409&lt;30,"Young Adult",
  H409&lt;50,"Adult",
  H409&gt;=50,"Senior"
)</f>
        <v>Senior</v>
      </c>
      <c r="J409" s="4" t="s">
        <v>16</v>
      </c>
      <c r="K409" s="4">
        <v>1</v>
      </c>
      <c r="L409" s="5">
        <v>500</v>
      </c>
      <c r="M409" s="5">
        <f xml:space="preserve"> K409*L409</f>
        <v>500</v>
      </c>
      <c r="N409" s="14">
        <f xml:space="preserve"> M409 * $Q$3</f>
        <v>7.5</v>
      </c>
      <c r="O409" s="5"/>
    </row>
    <row r="410" spans="1:15">
      <c r="A410" s="2">
        <v>409</v>
      </c>
      <c r="B410" s="4">
        <f>DAY(E410)</f>
        <v>18</v>
      </c>
      <c r="C410" s="4">
        <f>MONTH(E410)</f>
        <v>12</v>
      </c>
      <c r="D410" s="4">
        <f>YEAR(E410)</f>
        <v>2023</v>
      </c>
      <c r="E410" s="3">
        <v>45278</v>
      </c>
      <c r="F410" s="4" t="s">
        <v>432</v>
      </c>
      <c r="G410" s="4" t="s">
        <v>19</v>
      </c>
      <c r="H410" s="4">
        <v>21</v>
      </c>
      <c r="I410" s="4" t="str" cm="1">
        <f t="array" ref="I410">_xlfn.IFS(
  H410&lt;30,"Young Adult",
  H410&lt;50,"Adult",
  H410&gt;=50,"Senior"
)</f>
        <v>Young Adult</v>
      </c>
      <c r="J410" s="4" t="s">
        <v>23</v>
      </c>
      <c r="K410" s="4">
        <v>3</v>
      </c>
      <c r="L410" s="5">
        <v>300</v>
      </c>
      <c r="M410" s="5">
        <f xml:space="preserve"> K410*L410</f>
        <v>900</v>
      </c>
      <c r="N410" s="14">
        <f xml:space="preserve"> M410 * $Q$3</f>
        <v>13.5</v>
      </c>
      <c r="O410" s="5"/>
    </row>
    <row r="411" spans="1:15">
      <c r="A411" s="2">
        <v>410</v>
      </c>
      <c r="B411" s="4">
        <f>DAY(E411)</f>
        <v>21</v>
      </c>
      <c r="C411" s="4">
        <f>MONTH(E411)</f>
        <v>11</v>
      </c>
      <c r="D411" s="4">
        <f>YEAR(E411)</f>
        <v>2023</v>
      </c>
      <c r="E411" s="3">
        <v>45251</v>
      </c>
      <c r="F411" s="4" t="s">
        <v>433</v>
      </c>
      <c r="G411" s="4" t="s">
        <v>19</v>
      </c>
      <c r="H411" s="4">
        <v>29</v>
      </c>
      <c r="I411" s="4" t="str" cm="1">
        <f t="array" ref="I411">_xlfn.IFS(
  H411&lt;30,"Young Adult",
  H411&lt;50,"Adult",
  H411&gt;=50,"Senior"
)</f>
        <v>Young Adult</v>
      </c>
      <c r="J411" s="4" t="s">
        <v>20</v>
      </c>
      <c r="K411" s="4">
        <v>2</v>
      </c>
      <c r="L411" s="5">
        <v>50</v>
      </c>
      <c r="M411" s="5">
        <f xml:space="preserve"> K411*L411</f>
        <v>100</v>
      </c>
      <c r="N411" s="14">
        <f xml:space="preserve"> M411 * $Q$3</f>
        <v>1.5</v>
      </c>
      <c r="O411" s="5"/>
    </row>
    <row r="412" spans="1:15">
      <c r="A412" s="2">
        <v>411</v>
      </c>
      <c r="B412" s="4">
        <f>DAY(E412)</f>
        <v>16</v>
      </c>
      <c r="C412" s="4">
        <f>MONTH(E412)</f>
        <v>5</v>
      </c>
      <c r="D412" s="4">
        <f>YEAR(E412)</f>
        <v>2023</v>
      </c>
      <c r="E412" s="17">
        <v>45062</v>
      </c>
      <c r="F412" s="4" t="s">
        <v>434</v>
      </c>
      <c r="G412" s="4" t="s">
        <v>15</v>
      </c>
      <c r="H412" s="4">
        <v>62</v>
      </c>
      <c r="I412" s="4" t="str" cm="1">
        <f t="array" ref="I412">_xlfn.IFS(
  H412&lt;30,"Young Adult",
  H412&lt;50,"Adult",
  H412&gt;=50,"Senior"
)</f>
        <v>Senior</v>
      </c>
      <c r="J412" s="4" t="s">
        <v>23</v>
      </c>
      <c r="K412" s="4">
        <v>4</v>
      </c>
      <c r="L412" s="5">
        <v>50</v>
      </c>
      <c r="M412" s="5">
        <f xml:space="preserve"> K412*L412</f>
        <v>200</v>
      </c>
      <c r="N412" s="14">
        <f xml:space="preserve"> M412 * $Q$3</f>
        <v>3</v>
      </c>
      <c r="O412" s="5"/>
    </row>
    <row r="413" spans="1:15">
      <c r="A413" s="2">
        <v>412</v>
      </c>
      <c r="B413" s="4">
        <f>DAY(E413)</f>
        <v>16</v>
      </c>
      <c r="C413" s="4">
        <f>MONTH(E413)</f>
        <v>9</v>
      </c>
      <c r="D413" s="4">
        <f>YEAR(E413)</f>
        <v>2023</v>
      </c>
      <c r="E413" s="3">
        <v>45185</v>
      </c>
      <c r="F413" s="4" t="s">
        <v>435</v>
      </c>
      <c r="G413" s="4" t="s">
        <v>19</v>
      </c>
      <c r="H413" s="4">
        <v>19</v>
      </c>
      <c r="I413" s="4" t="str" cm="1">
        <f t="array" ref="I413">_xlfn.IFS(
  H413&lt;30,"Young Adult",
  H413&lt;50,"Adult",
  H413&gt;=50,"Senior"
)</f>
        <v>Young Adult</v>
      </c>
      <c r="J413" s="4" t="s">
        <v>23</v>
      </c>
      <c r="K413" s="4">
        <v>4</v>
      </c>
      <c r="L413" s="5">
        <v>500</v>
      </c>
      <c r="M413" s="5">
        <f xml:space="preserve"> K413*L413</f>
        <v>2000</v>
      </c>
      <c r="N413" s="14">
        <f xml:space="preserve"> M413 * $Q$3</f>
        <v>30</v>
      </c>
      <c r="O413" s="5"/>
    </row>
    <row r="414" spans="1:15">
      <c r="A414" s="2">
        <v>413</v>
      </c>
      <c r="B414" s="4">
        <f>DAY(E414)</f>
        <v>8</v>
      </c>
      <c r="C414" s="4">
        <f>MONTH(E414)</f>
        <v>9</v>
      </c>
      <c r="D414" s="4">
        <f>YEAR(E414)</f>
        <v>2023</v>
      </c>
      <c r="E414" s="17">
        <v>45177</v>
      </c>
      <c r="F414" s="4" t="s">
        <v>436</v>
      </c>
      <c r="G414" s="4" t="s">
        <v>19</v>
      </c>
      <c r="H414" s="4">
        <v>44</v>
      </c>
      <c r="I414" s="4" t="str" cm="1">
        <f t="array" ref="I414">_xlfn.IFS(
  H414&lt;30,"Young Adult",
  H414&lt;50,"Adult",
  H414&gt;=50,"Senior"
)</f>
        <v>Adult</v>
      </c>
      <c r="J414" s="4" t="s">
        <v>16</v>
      </c>
      <c r="K414" s="4">
        <v>3</v>
      </c>
      <c r="L414" s="5">
        <v>25</v>
      </c>
      <c r="M414" s="5">
        <f xml:space="preserve"> K414*L414</f>
        <v>75</v>
      </c>
      <c r="N414" s="14">
        <f xml:space="preserve"> M414 * $Q$3</f>
        <v>1.125</v>
      </c>
      <c r="O414" s="5"/>
    </row>
    <row r="415" spans="1:15">
      <c r="A415" s="2">
        <v>414</v>
      </c>
      <c r="B415" s="4">
        <f>DAY(E415)</f>
        <v>9</v>
      </c>
      <c r="C415" s="4">
        <f>MONTH(E415)</f>
        <v>5</v>
      </c>
      <c r="D415" s="4">
        <f>YEAR(E415)</f>
        <v>2023</v>
      </c>
      <c r="E415" s="17">
        <v>45055</v>
      </c>
      <c r="F415" s="4" t="s">
        <v>437</v>
      </c>
      <c r="G415" s="4" t="s">
        <v>15</v>
      </c>
      <c r="H415" s="4">
        <v>48</v>
      </c>
      <c r="I415" s="4" t="str" cm="1">
        <f t="array" ref="I415">_xlfn.IFS(
  H415&lt;30,"Young Adult",
  H415&lt;50,"Adult",
  H415&gt;=50,"Senior"
)</f>
        <v>Adult</v>
      </c>
      <c r="J415" s="4" t="s">
        <v>16</v>
      </c>
      <c r="K415" s="4">
        <v>4</v>
      </c>
      <c r="L415" s="5">
        <v>25</v>
      </c>
      <c r="M415" s="5">
        <f xml:space="preserve"> K415*L415</f>
        <v>100</v>
      </c>
      <c r="N415" s="14">
        <f xml:space="preserve"> M415 * $Q$3</f>
        <v>1.5</v>
      </c>
      <c r="O415" s="5"/>
    </row>
    <row r="416" spans="1:15">
      <c r="A416" s="2">
        <v>415</v>
      </c>
      <c r="B416" s="4">
        <f>DAY(E416)</f>
        <v>27</v>
      </c>
      <c r="C416" s="4">
        <f>MONTH(E416)</f>
        <v>1</v>
      </c>
      <c r="D416" s="4">
        <f>YEAR(E416)</f>
        <v>2023</v>
      </c>
      <c r="E416" s="3">
        <v>44953</v>
      </c>
      <c r="F416" s="4" t="s">
        <v>438</v>
      </c>
      <c r="G416" s="4" t="s">
        <v>15</v>
      </c>
      <c r="H416" s="4">
        <v>53</v>
      </c>
      <c r="I416" s="4" t="str" cm="1">
        <f t="array" ref="I416">_xlfn.IFS(
  H416&lt;30,"Young Adult",
  H416&lt;50,"Adult",
  H416&gt;=50,"Senior"
)</f>
        <v>Senior</v>
      </c>
      <c r="J416" s="4" t="s">
        <v>20</v>
      </c>
      <c r="K416" s="4">
        <v>2</v>
      </c>
      <c r="L416" s="5">
        <v>30</v>
      </c>
      <c r="M416" s="5">
        <f xml:space="preserve"> K416*L416</f>
        <v>60</v>
      </c>
      <c r="N416" s="14">
        <f xml:space="preserve"> M416 * $Q$3</f>
        <v>0.89999999999999991</v>
      </c>
      <c r="O416" s="5"/>
    </row>
    <row r="417" spans="1:15">
      <c r="A417" s="2">
        <v>416</v>
      </c>
      <c r="B417" s="4">
        <f>DAY(E417)</f>
        <v>17</v>
      </c>
      <c r="C417" s="4">
        <f>MONTH(E417)</f>
        <v>2</v>
      </c>
      <c r="D417" s="4">
        <f>YEAR(E417)</f>
        <v>2023</v>
      </c>
      <c r="E417" s="3">
        <v>44974</v>
      </c>
      <c r="F417" s="4" t="s">
        <v>439</v>
      </c>
      <c r="G417" s="4" t="s">
        <v>15</v>
      </c>
      <c r="H417" s="4">
        <v>53</v>
      </c>
      <c r="I417" s="4" t="str" cm="1">
        <f t="array" ref="I417">_xlfn.IFS(
  H417&lt;30,"Young Adult",
  H417&lt;50,"Adult",
  H417&gt;=50,"Senior"
)</f>
        <v>Senior</v>
      </c>
      <c r="J417" s="4" t="s">
        <v>23</v>
      </c>
      <c r="K417" s="4">
        <v>4</v>
      </c>
      <c r="L417" s="5">
        <v>500</v>
      </c>
      <c r="M417" s="5">
        <f xml:space="preserve"> K417*L417</f>
        <v>2000</v>
      </c>
      <c r="N417" s="14">
        <f xml:space="preserve"> M417 * $Q$3</f>
        <v>30</v>
      </c>
      <c r="O417" s="5"/>
    </row>
    <row r="418" spans="1:15">
      <c r="A418" s="2">
        <v>417</v>
      </c>
      <c r="B418" s="4">
        <f>DAY(E418)</f>
        <v>21</v>
      </c>
      <c r="C418" s="4">
        <f>MONTH(E418)</f>
        <v>11</v>
      </c>
      <c r="D418" s="4">
        <f>YEAR(E418)</f>
        <v>2023</v>
      </c>
      <c r="E418" s="3">
        <v>45251</v>
      </c>
      <c r="F418" s="4" t="s">
        <v>440</v>
      </c>
      <c r="G418" s="4" t="s">
        <v>15</v>
      </c>
      <c r="H418" s="4">
        <v>43</v>
      </c>
      <c r="I418" s="4" t="str" cm="1">
        <f t="array" ref="I418">_xlfn.IFS(
  H418&lt;30,"Young Adult",
  H418&lt;50,"Adult",
  H418&gt;=50,"Senior"
)</f>
        <v>Adult</v>
      </c>
      <c r="J418" s="4" t="s">
        <v>23</v>
      </c>
      <c r="K418" s="4">
        <v>3</v>
      </c>
      <c r="L418" s="5">
        <v>300</v>
      </c>
      <c r="M418" s="5">
        <f xml:space="preserve"> K418*L418</f>
        <v>900</v>
      </c>
      <c r="N418" s="14">
        <f xml:space="preserve"> M418 * $Q$3</f>
        <v>13.5</v>
      </c>
      <c r="O418" s="5"/>
    </row>
    <row r="419" spans="1:15">
      <c r="A419" s="2">
        <v>418</v>
      </c>
      <c r="B419" s="4">
        <f>DAY(E419)</f>
        <v>5</v>
      </c>
      <c r="C419" s="4">
        <f>MONTH(E419)</f>
        <v>8</v>
      </c>
      <c r="D419" s="4">
        <f>YEAR(E419)</f>
        <v>2023</v>
      </c>
      <c r="E419" s="3">
        <v>45143</v>
      </c>
      <c r="F419" s="4" t="s">
        <v>441</v>
      </c>
      <c r="G419" s="4" t="s">
        <v>19</v>
      </c>
      <c r="H419" s="4">
        <v>60</v>
      </c>
      <c r="I419" s="4" t="str" cm="1">
        <f t="array" ref="I419">_xlfn.IFS(
  H419&lt;30,"Young Adult",
  H419&lt;50,"Adult",
  H419&gt;=50,"Senior"
)</f>
        <v>Senior</v>
      </c>
      <c r="J419" s="4" t="s">
        <v>23</v>
      </c>
      <c r="K419" s="4">
        <v>2</v>
      </c>
      <c r="L419" s="5">
        <v>500</v>
      </c>
      <c r="M419" s="5">
        <f xml:space="preserve"> K419*L419</f>
        <v>1000</v>
      </c>
      <c r="N419" s="14">
        <f xml:space="preserve"> M419 * $Q$3</f>
        <v>15</v>
      </c>
      <c r="O419" s="5"/>
    </row>
    <row r="420" spans="1:15">
      <c r="A420" s="2">
        <v>419</v>
      </c>
      <c r="B420" s="4">
        <f>DAY(E420)</f>
        <v>22</v>
      </c>
      <c r="C420" s="4">
        <f>MONTH(E420)</f>
        <v>5</v>
      </c>
      <c r="D420" s="4">
        <f>YEAR(E420)</f>
        <v>2023</v>
      </c>
      <c r="E420" s="17">
        <v>45068</v>
      </c>
      <c r="F420" s="4" t="s">
        <v>442</v>
      </c>
      <c r="G420" s="4" t="s">
        <v>19</v>
      </c>
      <c r="H420" s="4">
        <v>44</v>
      </c>
      <c r="I420" s="4" t="str" cm="1">
        <f t="array" ref="I420">_xlfn.IFS(
  H420&lt;30,"Young Adult",
  H420&lt;50,"Adult",
  H420&gt;=50,"Senior"
)</f>
        <v>Adult</v>
      </c>
      <c r="J420" s="4" t="s">
        <v>20</v>
      </c>
      <c r="K420" s="4">
        <v>3</v>
      </c>
      <c r="L420" s="5">
        <v>30</v>
      </c>
      <c r="M420" s="5">
        <f xml:space="preserve"> K420*L420</f>
        <v>90</v>
      </c>
      <c r="N420" s="14">
        <f xml:space="preserve"> M420 * $Q$3</f>
        <v>1.3499999999999999</v>
      </c>
      <c r="O420" s="5"/>
    </row>
    <row r="421" spans="1:15">
      <c r="A421" s="2">
        <v>420</v>
      </c>
      <c r="B421" s="4">
        <f>DAY(E421)</f>
        <v>23</v>
      </c>
      <c r="C421" s="4">
        <f>MONTH(E421)</f>
        <v>1</v>
      </c>
      <c r="D421" s="4">
        <f>YEAR(E421)</f>
        <v>2023</v>
      </c>
      <c r="E421" s="3">
        <v>44949</v>
      </c>
      <c r="F421" s="4" t="s">
        <v>443</v>
      </c>
      <c r="G421" s="4" t="s">
        <v>19</v>
      </c>
      <c r="H421" s="4">
        <v>22</v>
      </c>
      <c r="I421" s="4" t="str" cm="1">
        <f t="array" ref="I421">_xlfn.IFS(
  H421&lt;30,"Young Adult",
  H421&lt;50,"Adult",
  H421&gt;=50,"Senior"
)</f>
        <v>Young Adult</v>
      </c>
      <c r="J421" s="4" t="s">
        <v>20</v>
      </c>
      <c r="K421" s="4">
        <v>4</v>
      </c>
      <c r="L421" s="5">
        <v>500</v>
      </c>
      <c r="M421" s="5">
        <f xml:space="preserve"> K421*L421</f>
        <v>2000</v>
      </c>
      <c r="N421" s="14">
        <f xml:space="preserve"> M421 * $Q$3</f>
        <v>30</v>
      </c>
      <c r="O421" s="5"/>
    </row>
    <row r="422" spans="1:15">
      <c r="A422" s="2">
        <v>421</v>
      </c>
      <c r="B422" s="4">
        <f>DAY(E422)</f>
        <v>2</v>
      </c>
      <c r="C422" s="4">
        <f>MONTH(E422)</f>
        <v>1</v>
      </c>
      <c r="D422" s="4">
        <f>YEAR(E422)</f>
        <v>2023</v>
      </c>
      <c r="E422" s="3">
        <v>44928</v>
      </c>
      <c r="F422" s="4" t="s">
        <v>444</v>
      </c>
      <c r="G422" s="4" t="s">
        <v>19</v>
      </c>
      <c r="H422" s="4">
        <v>37</v>
      </c>
      <c r="I422" s="4" t="str" cm="1">
        <f t="array" ref="I422">_xlfn.IFS(
  H422&lt;30,"Young Adult",
  H422&lt;50,"Adult",
  H422&gt;=50,"Senior"
)</f>
        <v>Adult</v>
      </c>
      <c r="J422" s="4" t="s">
        <v>20</v>
      </c>
      <c r="K422" s="4">
        <v>3</v>
      </c>
      <c r="L422" s="5">
        <v>500</v>
      </c>
      <c r="M422" s="5">
        <f xml:space="preserve"> K422*L422</f>
        <v>1500</v>
      </c>
      <c r="N422" s="14">
        <f xml:space="preserve"> M422 * $Q$3</f>
        <v>22.5</v>
      </c>
      <c r="O422" s="5"/>
    </row>
    <row r="423" spans="1:15">
      <c r="A423" s="2">
        <v>422</v>
      </c>
      <c r="B423" s="4">
        <f>DAY(E423)</f>
        <v>20</v>
      </c>
      <c r="C423" s="4">
        <f>MONTH(E423)</f>
        <v>6</v>
      </c>
      <c r="D423" s="4">
        <f>YEAR(E423)</f>
        <v>2023</v>
      </c>
      <c r="E423" s="3">
        <v>45097</v>
      </c>
      <c r="F423" s="4" t="s">
        <v>445</v>
      </c>
      <c r="G423" s="4" t="s">
        <v>19</v>
      </c>
      <c r="H423" s="4">
        <v>28</v>
      </c>
      <c r="I423" s="4" t="str" cm="1">
        <f t="array" ref="I423">_xlfn.IFS(
  H423&lt;30,"Young Adult",
  H423&lt;50,"Adult",
  H423&gt;=50,"Senior"
)</f>
        <v>Young Adult</v>
      </c>
      <c r="J423" s="4" t="s">
        <v>20</v>
      </c>
      <c r="K423" s="4">
        <v>3</v>
      </c>
      <c r="L423" s="5">
        <v>30</v>
      </c>
      <c r="M423" s="5">
        <f xml:space="preserve"> K423*L423</f>
        <v>90</v>
      </c>
      <c r="N423" s="14">
        <f xml:space="preserve"> M423 * $Q$3</f>
        <v>1.3499999999999999</v>
      </c>
      <c r="O423" s="5"/>
    </row>
    <row r="424" spans="1:15">
      <c r="A424" s="2">
        <v>423</v>
      </c>
      <c r="B424" s="4">
        <f>DAY(E424)</f>
        <v>8</v>
      </c>
      <c r="C424" s="4">
        <f>MONTH(E424)</f>
        <v>3</v>
      </c>
      <c r="D424" s="4">
        <f>YEAR(E424)</f>
        <v>2023</v>
      </c>
      <c r="E424" s="17">
        <v>44993</v>
      </c>
      <c r="F424" s="4" t="s">
        <v>446</v>
      </c>
      <c r="G424" s="4" t="s">
        <v>19</v>
      </c>
      <c r="H424" s="4">
        <v>27</v>
      </c>
      <c r="I424" s="4" t="str" cm="1">
        <f t="array" ref="I424">_xlfn.IFS(
  H424&lt;30,"Young Adult",
  H424&lt;50,"Adult",
  H424&gt;=50,"Senior"
)</f>
        <v>Young Adult</v>
      </c>
      <c r="J424" s="4" t="s">
        <v>20</v>
      </c>
      <c r="K424" s="4">
        <v>1</v>
      </c>
      <c r="L424" s="5">
        <v>25</v>
      </c>
      <c r="M424" s="5">
        <f xml:space="preserve"> K424*L424</f>
        <v>25</v>
      </c>
      <c r="N424" s="14">
        <f xml:space="preserve"> M424 * $Q$3</f>
        <v>0.375</v>
      </c>
      <c r="O424" s="5"/>
    </row>
    <row r="425" spans="1:15">
      <c r="A425" s="2">
        <v>424</v>
      </c>
      <c r="B425" s="4">
        <f>DAY(E425)</f>
        <v>23</v>
      </c>
      <c r="C425" s="4">
        <f>MONTH(E425)</f>
        <v>11</v>
      </c>
      <c r="D425" s="4">
        <f>YEAR(E425)</f>
        <v>2023</v>
      </c>
      <c r="E425" s="3">
        <v>45253</v>
      </c>
      <c r="F425" s="4" t="s">
        <v>447</v>
      </c>
      <c r="G425" s="4" t="s">
        <v>15</v>
      </c>
      <c r="H425" s="4">
        <v>57</v>
      </c>
      <c r="I425" s="4" t="str" cm="1">
        <f t="array" ref="I425">_xlfn.IFS(
  H425&lt;30,"Young Adult",
  H425&lt;50,"Adult",
  H425&gt;=50,"Senior"
)</f>
        <v>Senior</v>
      </c>
      <c r="J425" s="4" t="s">
        <v>16</v>
      </c>
      <c r="K425" s="4">
        <v>4</v>
      </c>
      <c r="L425" s="5">
        <v>300</v>
      </c>
      <c r="M425" s="5">
        <f xml:space="preserve"> K425*L425</f>
        <v>1200</v>
      </c>
      <c r="N425" s="14">
        <f xml:space="preserve"> M425 * $Q$3</f>
        <v>18</v>
      </c>
      <c r="O425" s="5"/>
    </row>
    <row r="426" spans="1:15">
      <c r="A426" s="2">
        <v>425</v>
      </c>
      <c r="B426" s="4">
        <f>DAY(E426)</f>
        <v>15</v>
      </c>
      <c r="C426" s="4">
        <f>MONTH(E426)</f>
        <v>5</v>
      </c>
      <c r="D426" s="4">
        <f>YEAR(E426)</f>
        <v>2023</v>
      </c>
      <c r="E426" s="17">
        <v>45061</v>
      </c>
      <c r="F426" s="4" t="s">
        <v>448</v>
      </c>
      <c r="G426" s="4" t="s">
        <v>19</v>
      </c>
      <c r="H426" s="4">
        <v>55</v>
      </c>
      <c r="I426" s="4" t="str" cm="1">
        <f t="array" ref="I426">_xlfn.IFS(
  H426&lt;30,"Young Adult",
  H426&lt;50,"Adult",
  H426&gt;=50,"Senior"
)</f>
        <v>Senior</v>
      </c>
      <c r="J426" s="4" t="s">
        <v>23</v>
      </c>
      <c r="K426" s="4">
        <v>4</v>
      </c>
      <c r="L426" s="5">
        <v>30</v>
      </c>
      <c r="M426" s="5">
        <f xml:space="preserve"> K426*L426</f>
        <v>120</v>
      </c>
      <c r="N426" s="14">
        <f xml:space="preserve"> M426 * $Q$3</f>
        <v>1.7999999999999998</v>
      </c>
      <c r="O426" s="5"/>
    </row>
    <row r="427" spans="1:15">
      <c r="A427" s="2">
        <v>426</v>
      </c>
      <c r="B427" s="4">
        <f>DAY(E427)</f>
        <v>24</v>
      </c>
      <c r="C427" s="4">
        <f>MONTH(E427)</f>
        <v>3</v>
      </c>
      <c r="D427" s="4">
        <f>YEAR(E427)</f>
        <v>2023</v>
      </c>
      <c r="E427" s="17">
        <v>45009</v>
      </c>
      <c r="F427" s="4" t="s">
        <v>449</v>
      </c>
      <c r="G427" s="4" t="s">
        <v>15</v>
      </c>
      <c r="H427" s="4">
        <v>23</v>
      </c>
      <c r="I427" s="4" t="str" cm="1">
        <f t="array" ref="I427">_xlfn.IFS(
  H427&lt;30,"Young Adult",
  H427&lt;50,"Adult",
  H427&gt;=50,"Senior"
)</f>
        <v>Young Adult</v>
      </c>
      <c r="J427" s="4" t="s">
        <v>23</v>
      </c>
      <c r="K427" s="4">
        <v>3</v>
      </c>
      <c r="L427" s="5">
        <v>50</v>
      </c>
      <c r="M427" s="5">
        <f xml:space="preserve"> K427*L427</f>
        <v>150</v>
      </c>
      <c r="N427" s="14">
        <f xml:space="preserve"> M427 * $Q$3</f>
        <v>2.25</v>
      </c>
      <c r="O427" s="5"/>
    </row>
    <row r="428" spans="1:15">
      <c r="A428" s="2">
        <v>427</v>
      </c>
      <c r="B428" s="4">
        <f>DAY(E428)</f>
        <v>15</v>
      </c>
      <c r="C428" s="4">
        <f>MONTH(E428)</f>
        <v>8</v>
      </c>
      <c r="D428" s="4">
        <f>YEAR(E428)</f>
        <v>2023</v>
      </c>
      <c r="E428" s="3">
        <v>45153</v>
      </c>
      <c r="F428" s="4" t="s">
        <v>450</v>
      </c>
      <c r="G428" s="4" t="s">
        <v>15</v>
      </c>
      <c r="H428" s="4">
        <v>25</v>
      </c>
      <c r="I428" s="4" t="str" cm="1">
        <f t="array" ref="I428">_xlfn.IFS(
  H428&lt;30,"Young Adult",
  H428&lt;50,"Adult",
  H428&gt;=50,"Senior"
)</f>
        <v>Young Adult</v>
      </c>
      <c r="J428" s="4" t="s">
        <v>23</v>
      </c>
      <c r="K428" s="4">
        <v>1</v>
      </c>
      <c r="L428" s="5">
        <v>25</v>
      </c>
      <c r="M428" s="5">
        <f xml:space="preserve"> K428*L428</f>
        <v>25</v>
      </c>
      <c r="N428" s="14">
        <f xml:space="preserve"> M428 * $Q$3</f>
        <v>0.375</v>
      </c>
      <c r="O428" s="5"/>
    </row>
    <row r="429" spans="1:15">
      <c r="A429" s="2">
        <v>428</v>
      </c>
      <c r="B429" s="4">
        <f>DAY(E429)</f>
        <v>10</v>
      </c>
      <c r="C429" s="4">
        <f>MONTH(E429)</f>
        <v>10</v>
      </c>
      <c r="D429" s="4">
        <f>YEAR(E429)</f>
        <v>2023</v>
      </c>
      <c r="E429" s="3">
        <v>45209</v>
      </c>
      <c r="F429" s="4" t="s">
        <v>451</v>
      </c>
      <c r="G429" s="4" t="s">
        <v>19</v>
      </c>
      <c r="H429" s="4">
        <v>40</v>
      </c>
      <c r="I429" s="4" t="str" cm="1">
        <f t="array" ref="I429">_xlfn.IFS(
  H429&lt;30,"Young Adult",
  H429&lt;50,"Adult",
  H429&gt;=50,"Senior"
)</f>
        <v>Adult</v>
      </c>
      <c r="J429" s="4" t="s">
        <v>23</v>
      </c>
      <c r="K429" s="4">
        <v>4</v>
      </c>
      <c r="L429" s="5">
        <v>50</v>
      </c>
      <c r="M429" s="5">
        <f xml:space="preserve"> K429*L429</f>
        <v>200</v>
      </c>
      <c r="N429" s="14">
        <f xml:space="preserve"> M429 * $Q$3</f>
        <v>3</v>
      </c>
      <c r="O429" s="5"/>
    </row>
    <row r="430" spans="1:15">
      <c r="A430" s="2">
        <v>429</v>
      </c>
      <c r="B430" s="4">
        <f>DAY(E430)</f>
        <v>28</v>
      </c>
      <c r="C430" s="4">
        <f>MONTH(E430)</f>
        <v>12</v>
      </c>
      <c r="D430" s="4">
        <f>YEAR(E430)</f>
        <v>2023</v>
      </c>
      <c r="E430" s="3">
        <v>45288</v>
      </c>
      <c r="F430" s="4" t="s">
        <v>452</v>
      </c>
      <c r="G430" s="4" t="s">
        <v>15</v>
      </c>
      <c r="H430" s="4">
        <v>64</v>
      </c>
      <c r="I430" s="4" t="str" cm="1">
        <f t="array" ref="I430">_xlfn.IFS(
  H430&lt;30,"Young Adult",
  H430&lt;50,"Adult",
  H430&gt;=50,"Senior"
)</f>
        <v>Senior</v>
      </c>
      <c r="J430" s="4" t="s">
        <v>23</v>
      </c>
      <c r="K430" s="4">
        <v>2</v>
      </c>
      <c r="L430" s="5">
        <v>25</v>
      </c>
      <c r="M430" s="5">
        <f xml:space="preserve"> K430*L430</f>
        <v>50</v>
      </c>
      <c r="N430" s="14">
        <f xml:space="preserve"> M430 * $Q$3</f>
        <v>0.75</v>
      </c>
      <c r="O430" s="5"/>
    </row>
    <row r="431" spans="1:15">
      <c r="A431" s="2">
        <v>430</v>
      </c>
      <c r="B431" s="4">
        <f>DAY(E431)</f>
        <v>7</v>
      </c>
      <c r="C431" s="4">
        <f>MONTH(E431)</f>
        <v>8</v>
      </c>
      <c r="D431" s="4">
        <f>YEAR(E431)</f>
        <v>2023</v>
      </c>
      <c r="E431" s="3">
        <v>45145</v>
      </c>
      <c r="F431" s="4" t="s">
        <v>453</v>
      </c>
      <c r="G431" s="4" t="s">
        <v>19</v>
      </c>
      <c r="H431" s="4">
        <v>43</v>
      </c>
      <c r="I431" s="4" t="str" cm="1">
        <f t="array" ref="I431">_xlfn.IFS(
  H431&lt;30,"Young Adult",
  H431&lt;50,"Adult",
  H431&gt;=50,"Senior"
)</f>
        <v>Adult</v>
      </c>
      <c r="J431" s="4" t="s">
        <v>23</v>
      </c>
      <c r="K431" s="4">
        <v>3</v>
      </c>
      <c r="L431" s="5">
        <v>300</v>
      </c>
      <c r="M431" s="5">
        <f xml:space="preserve"> K431*L431</f>
        <v>900</v>
      </c>
      <c r="N431" s="14">
        <f xml:space="preserve"> M431 * $Q$3</f>
        <v>13.5</v>
      </c>
      <c r="O431" s="5"/>
    </row>
    <row r="432" spans="1:15">
      <c r="A432" s="2">
        <v>431</v>
      </c>
      <c r="B432" s="4">
        <f>DAY(E432)</f>
        <v>15</v>
      </c>
      <c r="C432" s="4">
        <f>MONTH(E432)</f>
        <v>10</v>
      </c>
      <c r="D432" s="4">
        <f>YEAR(E432)</f>
        <v>2023</v>
      </c>
      <c r="E432" s="3">
        <v>45214</v>
      </c>
      <c r="F432" s="4" t="s">
        <v>454</v>
      </c>
      <c r="G432" s="4" t="s">
        <v>15</v>
      </c>
      <c r="H432" s="4">
        <v>63</v>
      </c>
      <c r="I432" s="4" t="str" cm="1">
        <f t="array" ref="I432">_xlfn.IFS(
  H432&lt;30,"Young Adult",
  H432&lt;50,"Adult",
  H432&gt;=50,"Senior"
)</f>
        <v>Senior</v>
      </c>
      <c r="J432" s="4" t="s">
        <v>23</v>
      </c>
      <c r="K432" s="4">
        <v>4</v>
      </c>
      <c r="L432" s="5">
        <v>300</v>
      </c>
      <c r="M432" s="5">
        <f xml:space="preserve"> K432*L432</f>
        <v>1200</v>
      </c>
      <c r="N432" s="14">
        <f xml:space="preserve"> M432 * $Q$3</f>
        <v>18</v>
      </c>
      <c r="O432" s="5"/>
    </row>
    <row r="433" spans="1:15">
      <c r="A433" s="2">
        <v>432</v>
      </c>
      <c r="B433" s="4">
        <f>DAY(E433)</f>
        <v>5</v>
      </c>
      <c r="C433" s="4">
        <f>MONTH(E433)</f>
        <v>1</v>
      </c>
      <c r="D433" s="4">
        <f>YEAR(E433)</f>
        <v>2023</v>
      </c>
      <c r="E433" s="3">
        <v>44931</v>
      </c>
      <c r="F433" s="4" t="s">
        <v>455</v>
      </c>
      <c r="G433" s="4" t="s">
        <v>19</v>
      </c>
      <c r="H433" s="4">
        <v>60</v>
      </c>
      <c r="I433" s="4" t="str" cm="1">
        <f t="array" ref="I433">_xlfn.IFS(
  H433&lt;30,"Young Adult",
  H433&lt;50,"Adult",
  H433&gt;=50,"Senior"
)</f>
        <v>Senior</v>
      </c>
      <c r="J433" s="4" t="s">
        <v>23</v>
      </c>
      <c r="K433" s="4">
        <v>2</v>
      </c>
      <c r="L433" s="5">
        <v>500</v>
      </c>
      <c r="M433" s="5">
        <f xml:space="preserve"> K433*L433</f>
        <v>1000</v>
      </c>
      <c r="N433" s="14">
        <f xml:space="preserve"> M433 * $Q$3</f>
        <v>15</v>
      </c>
      <c r="O433" s="5"/>
    </row>
    <row r="434" spans="1:15">
      <c r="A434" s="2">
        <v>433</v>
      </c>
      <c r="B434" s="4">
        <f>DAY(E434)</f>
        <v>27</v>
      </c>
      <c r="C434" s="4">
        <f>MONTH(E434)</f>
        <v>2</v>
      </c>
      <c r="D434" s="4">
        <f>YEAR(E434)</f>
        <v>2023</v>
      </c>
      <c r="E434" s="3">
        <v>44984</v>
      </c>
      <c r="F434" s="4" t="s">
        <v>456</v>
      </c>
      <c r="G434" s="4" t="s">
        <v>15</v>
      </c>
      <c r="H434" s="4">
        <v>29</v>
      </c>
      <c r="I434" s="4" t="str" cm="1">
        <f t="array" ref="I434">_xlfn.IFS(
  H434&lt;30,"Young Adult",
  H434&lt;50,"Adult",
  H434&gt;=50,"Senior"
)</f>
        <v>Young Adult</v>
      </c>
      <c r="J434" s="4" t="s">
        <v>16</v>
      </c>
      <c r="K434" s="4">
        <v>4</v>
      </c>
      <c r="L434" s="5">
        <v>50</v>
      </c>
      <c r="M434" s="5">
        <f xml:space="preserve"> K434*L434</f>
        <v>200</v>
      </c>
      <c r="N434" s="14">
        <f xml:space="preserve"> M434 * $Q$3</f>
        <v>3</v>
      </c>
      <c r="O434" s="5"/>
    </row>
    <row r="435" spans="1:15">
      <c r="A435" s="2">
        <v>434</v>
      </c>
      <c r="B435" s="4">
        <f>DAY(E435)</f>
        <v>8</v>
      </c>
      <c r="C435" s="4">
        <f>MONTH(E435)</f>
        <v>2</v>
      </c>
      <c r="D435" s="4">
        <f>YEAR(E435)</f>
        <v>2023</v>
      </c>
      <c r="E435" s="3">
        <v>44965</v>
      </c>
      <c r="F435" s="4" t="s">
        <v>457</v>
      </c>
      <c r="G435" s="4" t="s">
        <v>19</v>
      </c>
      <c r="H435" s="4">
        <v>43</v>
      </c>
      <c r="I435" s="4" t="str" cm="1">
        <f t="array" ref="I435">_xlfn.IFS(
  H435&lt;30,"Young Adult",
  H435&lt;50,"Adult",
  H435&gt;=50,"Senior"
)</f>
        <v>Adult</v>
      </c>
      <c r="J435" s="4" t="s">
        <v>23</v>
      </c>
      <c r="K435" s="4">
        <v>2</v>
      </c>
      <c r="L435" s="5">
        <v>25</v>
      </c>
      <c r="M435" s="5">
        <f xml:space="preserve"> K435*L435</f>
        <v>50</v>
      </c>
      <c r="N435" s="14">
        <f xml:space="preserve"> M435 * $Q$3</f>
        <v>0.75</v>
      </c>
      <c r="O435" s="5"/>
    </row>
    <row r="436" spans="1:15">
      <c r="A436" s="2">
        <v>435</v>
      </c>
      <c r="B436" s="4">
        <f>DAY(E436)</f>
        <v>20</v>
      </c>
      <c r="C436" s="4">
        <f>MONTH(E436)</f>
        <v>12</v>
      </c>
      <c r="D436" s="4">
        <f>YEAR(E436)</f>
        <v>2023</v>
      </c>
      <c r="E436" s="3">
        <v>45280</v>
      </c>
      <c r="F436" s="4" t="s">
        <v>458</v>
      </c>
      <c r="G436" s="4" t="s">
        <v>19</v>
      </c>
      <c r="H436" s="4">
        <v>30</v>
      </c>
      <c r="I436" s="4" t="str" cm="1">
        <f t="array" ref="I436">_xlfn.IFS(
  H436&lt;30,"Young Adult",
  H436&lt;50,"Adult",
  H436&gt;=50,"Senior"
)</f>
        <v>Adult</v>
      </c>
      <c r="J436" s="4" t="s">
        <v>16</v>
      </c>
      <c r="K436" s="4">
        <v>3</v>
      </c>
      <c r="L436" s="5">
        <v>300</v>
      </c>
      <c r="M436" s="5">
        <f xml:space="preserve"> K436*L436</f>
        <v>900</v>
      </c>
      <c r="N436" s="14">
        <f xml:space="preserve"> M436 * $Q$3</f>
        <v>13.5</v>
      </c>
      <c r="O436" s="5"/>
    </row>
    <row r="437" spans="1:15">
      <c r="A437" s="2">
        <v>436</v>
      </c>
      <c r="B437" s="4">
        <f>DAY(E437)</f>
        <v>18</v>
      </c>
      <c r="C437" s="4">
        <f>MONTH(E437)</f>
        <v>3</v>
      </c>
      <c r="D437" s="4">
        <f>YEAR(E437)</f>
        <v>2023</v>
      </c>
      <c r="E437" s="17">
        <v>45003</v>
      </c>
      <c r="F437" s="4" t="s">
        <v>459</v>
      </c>
      <c r="G437" s="4" t="s">
        <v>19</v>
      </c>
      <c r="H437" s="4">
        <v>57</v>
      </c>
      <c r="I437" s="4" t="str" cm="1">
        <f t="array" ref="I437">_xlfn.IFS(
  H437&lt;30,"Young Adult",
  H437&lt;50,"Adult",
  H437&gt;=50,"Senior"
)</f>
        <v>Senior</v>
      </c>
      <c r="J437" s="4" t="s">
        <v>20</v>
      </c>
      <c r="K437" s="4">
        <v>4</v>
      </c>
      <c r="L437" s="5">
        <v>30</v>
      </c>
      <c r="M437" s="5">
        <f xml:space="preserve"> K437*L437</f>
        <v>120</v>
      </c>
      <c r="N437" s="14">
        <f xml:space="preserve"> M437 * $Q$3</f>
        <v>1.7999999999999998</v>
      </c>
      <c r="O437" s="5"/>
    </row>
    <row r="438" spans="1:15">
      <c r="A438" s="2">
        <v>437</v>
      </c>
      <c r="B438" s="4">
        <f>DAY(E438)</f>
        <v>7</v>
      </c>
      <c r="C438" s="4">
        <f>MONTH(E438)</f>
        <v>10</v>
      </c>
      <c r="D438" s="4">
        <f>YEAR(E438)</f>
        <v>2023</v>
      </c>
      <c r="E438" s="3">
        <v>45206</v>
      </c>
      <c r="F438" s="4" t="s">
        <v>460</v>
      </c>
      <c r="G438" s="4" t="s">
        <v>19</v>
      </c>
      <c r="H438" s="4">
        <v>35</v>
      </c>
      <c r="I438" s="4" t="str" cm="1">
        <f t="array" ref="I438">_xlfn.IFS(
  H438&lt;30,"Young Adult",
  H438&lt;50,"Adult",
  H438&gt;=50,"Senior"
)</f>
        <v>Adult</v>
      </c>
      <c r="J438" s="4" t="s">
        <v>23</v>
      </c>
      <c r="K438" s="4">
        <v>4</v>
      </c>
      <c r="L438" s="5">
        <v>300</v>
      </c>
      <c r="M438" s="5">
        <f xml:space="preserve"> K438*L438</f>
        <v>1200</v>
      </c>
      <c r="N438" s="14">
        <f xml:space="preserve"> M438 * $Q$3</f>
        <v>18</v>
      </c>
      <c r="O438" s="5"/>
    </row>
    <row r="439" spans="1:15">
      <c r="A439" s="2">
        <v>438</v>
      </c>
      <c r="B439" s="4">
        <f>DAY(E439)</f>
        <v>19</v>
      </c>
      <c r="C439" s="4">
        <f>MONTH(E439)</f>
        <v>1</v>
      </c>
      <c r="D439" s="4">
        <f>YEAR(E439)</f>
        <v>2023</v>
      </c>
      <c r="E439" s="3">
        <v>44945</v>
      </c>
      <c r="F439" s="4" t="s">
        <v>461</v>
      </c>
      <c r="G439" s="4" t="s">
        <v>19</v>
      </c>
      <c r="H439" s="4">
        <v>42</v>
      </c>
      <c r="I439" s="4" t="str" cm="1">
        <f t="array" ref="I439">_xlfn.IFS(
  H439&lt;30,"Young Adult",
  H439&lt;50,"Adult",
  H439&gt;=50,"Senior"
)</f>
        <v>Adult</v>
      </c>
      <c r="J439" s="4" t="s">
        <v>20</v>
      </c>
      <c r="K439" s="4">
        <v>1</v>
      </c>
      <c r="L439" s="5">
        <v>30</v>
      </c>
      <c r="M439" s="5">
        <f xml:space="preserve"> K439*L439</f>
        <v>30</v>
      </c>
      <c r="N439" s="14">
        <f xml:space="preserve"> M439 * $Q$3</f>
        <v>0.44999999999999996</v>
      </c>
      <c r="O439" s="5"/>
    </row>
    <row r="440" spans="1:15">
      <c r="A440" s="2">
        <v>439</v>
      </c>
      <c r="B440" s="4">
        <f>DAY(E440)</f>
        <v>9</v>
      </c>
      <c r="C440" s="4">
        <f>MONTH(E440)</f>
        <v>7</v>
      </c>
      <c r="D440" s="4">
        <f>YEAR(E440)</f>
        <v>2023</v>
      </c>
      <c r="E440" s="3">
        <v>45116</v>
      </c>
      <c r="F440" s="4" t="s">
        <v>462</v>
      </c>
      <c r="G440" s="4" t="s">
        <v>15</v>
      </c>
      <c r="H440" s="4">
        <v>50</v>
      </c>
      <c r="I440" s="4" t="str" cm="1">
        <f t="array" ref="I440">_xlfn.IFS(
  H440&lt;30,"Young Adult",
  H440&lt;50,"Adult",
  H440&gt;=50,"Senior"
)</f>
        <v>Senior</v>
      </c>
      <c r="J440" s="4" t="s">
        <v>20</v>
      </c>
      <c r="K440" s="4">
        <v>3</v>
      </c>
      <c r="L440" s="5">
        <v>25</v>
      </c>
      <c r="M440" s="5">
        <f xml:space="preserve"> K440*L440</f>
        <v>75</v>
      </c>
      <c r="N440" s="14">
        <f xml:space="preserve"> M440 * $Q$3</f>
        <v>1.125</v>
      </c>
      <c r="O440" s="5"/>
    </row>
    <row r="441" spans="1:15">
      <c r="A441" s="2">
        <v>440</v>
      </c>
      <c r="B441" s="4">
        <f>DAY(E441)</f>
        <v>26</v>
      </c>
      <c r="C441" s="4">
        <f>MONTH(E441)</f>
        <v>10</v>
      </c>
      <c r="D441" s="4">
        <f>YEAR(E441)</f>
        <v>2023</v>
      </c>
      <c r="E441" s="3">
        <v>45225</v>
      </c>
      <c r="F441" s="4" t="s">
        <v>463</v>
      </c>
      <c r="G441" s="4" t="s">
        <v>15</v>
      </c>
      <c r="H441" s="4">
        <v>64</v>
      </c>
      <c r="I441" s="4" t="str" cm="1">
        <f t="array" ref="I441">_xlfn.IFS(
  H441&lt;30,"Young Adult",
  H441&lt;50,"Adult",
  H441&gt;=50,"Senior"
)</f>
        <v>Senior</v>
      </c>
      <c r="J441" s="4" t="s">
        <v>20</v>
      </c>
      <c r="K441" s="4">
        <v>2</v>
      </c>
      <c r="L441" s="5">
        <v>300</v>
      </c>
      <c r="M441" s="5">
        <f xml:space="preserve"> K441*L441</f>
        <v>600</v>
      </c>
      <c r="N441" s="14">
        <f xml:space="preserve"> M441 * $Q$3</f>
        <v>9</v>
      </c>
      <c r="O441" s="5"/>
    </row>
    <row r="442" spans="1:15">
      <c r="A442" s="2">
        <v>441</v>
      </c>
      <c r="B442" s="4">
        <f>DAY(E442)</f>
        <v>10</v>
      </c>
      <c r="C442" s="4">
        <f>MONTH(E442)</f>
        <v>10</v>
      </c>
      <c r="D442" s="4">
        <f>YEAR(E442)</f>
        <v>2023</v>
      </c>
      <c r="E442" s="3">
        <v>45209</v>
      </c>
      <c r="F442" s="4" t="s">
        <v>464</v>
      </c>
      <c r="G442" s="4" t="s">
        <v>15</v>
      </c>
      <c r="H442" s="4">
        <v>57</v>
      </c>
      <c r="I442" s="4" t="str" cm="1">
        <f t="array" ref="I442">_xlfn.IFS(
  H442&lt;30,"Young Adult",
  H442&lt;50,"Adult",
  H442&gt;=50,"Senior"
)</f>
        <v>Senior</v>
      </c>
      <c r="J442" s="4" t="s">
        <v>16</v>
      </c>
      <c r="K442" s="4">
        <v>4</v>
      </c>
      <c r="L442" s="5">
        <v>300</v>
      </c>
      <c r="M442" s="5">
        <f xml:space="preserve"> K442*L442</f>
        <v>1200</v>
      </c>
      <c r="N442" s="14">
        <f xml:space="preserve"> M442 * $Q$3</f>
        <v>18</v>
      </c>
      <c r="O442" s="5"/>
    </row>
    <row r="443" spans="1:15">
      <c r="A443" s="2">
        <v>442</v>
      </c>
      <c r="B443" s="4">
        <f>DAY(E443)</f>
        <v>17</v>
      </c>
      <c r="C443" s="4">
        <f>MONTH(E443)</f>
        <v>3</v>
      </c>
      <c r="D443" s="4">
        <f>YEAR(E443)</f>
        <v>2023</v>
      </c>
      <c r="E443" s="17">
        <v>45002</v>
      </c>
      <c r="F443" s="4" t="s">
        <v>465</v>
      </c>
      <c r="G443" s="4" t="s">
        <v>19</v>
      </c>
      <c r="H443" s="4">
        <v>60</v>
      </c>
      <c r="I443" s="4" t="str" cm="1">
        <f t="array" ref="I443">_xlfn.IFS(
  H443&lt;30,"Young Adult",
  H443&lt;50,"Adult",
  H443&gt;=50,"Senior"
)</f>
        <v>Senior</v>
      </c>
      <c r="J443" s="4" t="s">
        <v>20</v>
      </c>
      <c r="K443" s="4">
        <v>4</v>
      </c>
      <c r="L443" s="5">
        <v>25</v>
      </c>
      <c r="M443" s="5">
        <f xml:space="preserve"> K443*L443</f>
        <v>100</v>
      </c>
      <c r="N443" s="14">
        <f xml:space="preserve"> M443 * $Q$3</f>
        <v>1.5</v>
      </c>
      <c r="O443" s="5"/>
    </row>
    <row r="444" spans="1:15">
      <c r="A444" s="2">
        <v>443</v>
      </c>
      <c r="B444" s="4">
        <f>DAY(E444)</f>
        <v>9</v>
      </c>
      <c r="C444" s="4">
        <f>MONTH(E444)</f>
        <v>8</v>
      </c>
      <c r="D444" s="4">
        <f>YEAR(E444)</f>
        <v>2023</v>
      </c>
      <c r="E444" s="3">
        <v>45147</v>
      </c>
      <c r="F444" s="4" t="s">
        <v>466</v>
      </c>
      <c r="G444" s="4" t="s">
        <v>15</v>
      </c>
      <c r="H444" s="4">
        <v>29</v>
      </c>
      <c r="I444" s="4" t="str" cm="1">
        <f t="array" ref="I444">_xlfn.IFS(
  H444&lt;30,"Young Adult",
  H444&lt;50,"Adult",
  H444&gt;=50,"Senior"
)</f>
        <v>Young Adult</v>
      </c>
      <c r="J444" s="4" t="s">
        <v>20</v>
      </c>
      <c r="K444" s="4">
        <v>2</v>
      </c>
      <c r="L444" s="5">
        <v>300</v>
      </c>
      <c r="M444" s="5">
        <f xml:space="preserve"> K444*L444</f>
        <v>600</v>
      </c>
      <c r="N444" s="14">
        <f xml:space="preserve"> M444 * $Q$3</f>
        <v>9</v>
      </c>
      <c r="O444" s="5"/>
    </row>
    <row r="445" spans="1:15">
      <c r="A445" s="2">
        <v>444</v>
      </c>
      <c r="B445" s="4">
        <f>DAY(E445)</f>
        <v>7</v>
      </c>
      <c r="C445" s="4">
        <f>MONTH(E445)</f>
        <v>3</v>
      </c>
      <c r="D445" s="4">
        <f>YEAR(E445)</f>
        <v>2023</v>
      </c>
      <c r="E445" s="17">
        <v>44992</v>
      </c>
      <c r="F445" s="4" t="s">
        <v>467</v>
      </c>
      <c r="G445" s="4" t="s">
        <v>19</v>
      </c>
      <c r="H445" s="4">
        <v>61</v>
      </c>
      <c r="I445" s="4" t="str" cm="1">
        <f t="array" ref="I445">_xlfn.IFS(
  H445&lt;30,"Young Adult",
  H445&lt;50,"Adult",
  H445&gt;=50,"Senior"
)</f>
        <v>Senior</v>
      </c>
      <c r="J445" s="4" t="s">
        <v>20</v>
      </c>
      <c r="K445" s="4">
        <v>3</v>
      </c>
      <c r="L445" s="5">
        <v>30</v>
      </c>
      <c r="M445" s="5">
        <f xml:space="preserve"> K445*L445</f>
        <v>90</v>
      </c>
      <c r="N445" s="14">
        <f xml:space="preserve"> M445 * $Q$3</f>
        <v>1.3499999999999999</v>
      </c>
      <c r="O445" s="5"/>
    </row>
    <row r="446" spans="1:15">
      <c r="A446" s="2">
        <v>445</v>
      </c>
      <c r="B446" s="4">
        <f>DAY(E446)</f>
        <v>22</v>
      </c>
      <c r="C446" s="4">
        <f>MONTH(E446)</f>
        <v>1</v>
      </c>
      <c r="D446" s="4">
        <f>YEAR(E446)</f>
        <v>2023</v>
      </c>
      <c r="E446" s="3">
        <v>44948</v>
      </c>
      <c r="F446" s="4" t="s">
        <v>468</v>
      </c>
      <c r="G446" s="4" t="s">
        <v>19</v>
      </c>
      <c r="H446" s="4">
        <v>53</v>
      </c>
      <c r="I446" s="4" t="str" cm="1">
        <f t="array" ref="I446">_xlfn.IFS(
  H446&lt;30,"Young Adult",
  H446&lt;50,"Adult",
  H446&gt;=50,"Senior"
)</f>
        <v>Senior</v>
      </c>
      <c r="J446" s="4" t="s">
        <v>23</v>
      </c>
      <c r="K446" s="4">
        <v>1</v>
      </c>
      <c r="L446" s="5">
        <v>300</v>
      </c>
      <c r="M446" s="5">
        <f xml:space="preserve"> K446*L446</f>
        <v>300</v>
      </c>
      <c r="N446" s="14">
        <f xml:space="preserve"> M446 * $Q$3</f>
        <v>4.5</v>
      </c>
      <c r="O446" s="5"/>
    </row>
    <row r="447" spans="1:15">
      <c r="A447" s="2">
        <v>446</v>
      </c>
      <c r="B447" s="4">
        <f>DAY(E447)</f>
        <v>7</v>
      </c>
      <c r="C447" s="4">
        <f>MONTH(E447)</f>
        <v>6</v>
      </c>
      <c r="D447" s="4">
        <f>YEAR(E447)</f>
        <v>2023</v>
      </c>
      <c r="E447" s="3">
        <v>45084</v>
      </c>
      <c r="F447" s="4" t="s">
        <v>469</v>
      </c>
      <c r="G447" s="4" t="s">
        <v>15</v>
      </c>
      <c r="H447" s="4">
        <v>21</v>
      </c>
      <c r="I447" s="4" t="str" cm="1">
        <f t="array" ref="I447">_xlfn.IFS(
  H447&lt;30,"Young Adult",
  H447&lt;50,"Adult",
  H447&gt;=50,"Senior"
)</f>
        <v>Young Adult</v>
      </c>
      <c r="J447" s="4" t="s">
        <v>23</v>
      </c>
      <c r="K447" s="4">
        <v>1</v>
      </c>
      <c r="L447" s="5">
        <v>50</v>
      </c>
      <c r="M447" s="5">
        <f xml:space="preserve"> K447*L447</f>
        <v>50</v>
      </c>
      <c r="N447" s="14">
        <f xml:space="preserve"> M447 * $Q$3</f>
        <v>0.75</v>
      </c>
      <c r="O447" s="5"/>
    </row>
    <row r="448" spans="1:15">
      <c r="A448" s="2">
        <v>447</v>
      </c>
      <c r="B448" s="4">
        <f>DAY(E448)</f>
        <v>6</v>
      </c>
      <c r="C448" s="4">
        <f>MONTH(E448)</f>
        <v>7</v>
      </c>
      <c r="D448" s="4">
        <f>YEAR(E448)</f>
        <v>2023</v>
      </c>
      <c r="E448" s="3">
        <v>45113</v>
      </c>
      <c r="F448" s="4" t="s">
        <v>470</v>
      </c>
      <c r="G448" s="4" t="s">
        <v>15</v>
      </c>
      <c r="H448" s="4">
        <v>22</v>
      </c>
      <c r="I448" s="4" t="str" cm="1">
        <f t="array" ref="I448">_xlfn.IFS(
  H448&lt;30,"Young Adult",
  H448&lt;50,"Adult",
  H448&gt;=50,"Senior"
)</f>
        <v>Young Adult</v>
      </c>
      <c r="J448" s="4" t="s">
        <v>16</v>
      </c>
      <c r="K448" s="4">
        <v>4</v>
      </c>
      <c r="L448" s="5">
        <v>500</v>
      </c>
      <c r="M448" s="5">
        <f xml:space="preserve"> K448*L448</f>
        <v>2000</v>
      </c>
      <c r="N448" s="14">
        <f xml:space="preserve"> M448 * $Q$3</f>
        <v>30</v>
      </c>
      <c r="O448" s="5"/>
    </row>
    <row r="449" spans="1:15">
      <c r="A449" s="2">
        <v>448</v>
      </c>
      <c r="B449" s="4">
        <f>DAY(E449)</f>
        <v>21</v>
      </c>
      <c r="C449" s="4">
        <f>MONTH(E449)</f>
        <v>1</v>
      </c>
      <c r="D449" s="4">
        <f>YEAR(E449)</f>
        <v>2023</v>
      </c>
      <c r="E449" s="3">
        <v>44947</v>
      </c>
      <c r="F449" s="4" t="s">
        <v>471</v>
      </c>
      <c r="G449" s="4" t="s">
        <v>19</v>
      </c>
      <c r="H449" s="4">
        <v>54</v>
      </c>
      <c r="I449" s="4" t="str" cm="1">
        <f t="array" ref="I449">_xlfn.IFS(
  H449&lt;30,"Young Adult",
  H449&lt;50,"Adult",
  H449&gt;=50,"Senior"
)</f>
        <v>Senior</v>
      </c>
      <c r="J449" s="4" t="s">
        <v>16</v>
      </c>
      <c r="K449" s="4">
        <v>2</v>
      </c>
      <c r="L449" s="5">
        <v>30</v>
      </c>
      <c r="M449" s="5">
        <f xml:space="preserve"> K449*L449</f>
        <v>60</v>
      </c>
      <c r="N449" s="14">
        <f xml:space="preserve"> M449 * $Q$3</f>
        <v>0.89999999999999991</v>
      </c>
      <c r="O449" s="5"/>
    </row>
    <row r="450" spans="1:15">
      <c r="A450" s="2">
        <v>449</v>
      </c>
      <c r="B450" s="4">
        <f>DAY(E450)</f>
        <v>3</v>
      </c>
      <c r="C450" s="4">
        <f>MONTH(E450)</f>
        <v>7</v>
      </c>
      <c r="D450" s="4">
        <f>YEAR(E450)</f>
        <v>2023</v>
      </c>
      <c r="E450" s="3">
        <v>45110</v>
      </c>
      <c r="F450" s="4" t="s">
        <v>472</v>
      </c>
      <c r="G450" s="4" t="s">
        <v>15</v>
      </c>
      <c r="H450" s="4">
        <v>25</v>
      </c>
      <c r="I450" s="4" t="str" cm="1">
        <f t="array" ref="I450">_xlfn.IFS(
  H450&lt;30,"Young Adult",
  H450&lt;50,"Adult",
  H450&gt;=50,"Senior"
)</f>
        <v>Young Adult</v>
      </c>
      <c r="J450" s="4" t="s">
        <v>23</v>
      </c>
      <c r="K450" s="4">
        <v>4</v>
      </c>
      <c r="L450" s="5">
        <v>50</v>
      </c>
      <c r="M450" s="5">
        <f xml:space="preserve"> K450*L450</f>
        <v>200</v>
      </c>
      <c r="N450" s="14">
        <f xml:space="preserve"> M450 * $Q$3</f>
        <v>3</v>
      </c>
      <c r="O450" s="5"/>
    </row>
    <row r="451" spans="1:15">
      <c r="A451" s="2">
        <v>450</v>
      </c>
      <c r="B451" s="4">
        <f>DAY(E451)</f>
        <v>18</v>
      </c>
      <c r="C451" s="4">
        <f>MONTH(E451)</f>
        <v>4</v>
      </c>
      <c r="D451" s="4">
        <f>YEAR(E451)</f>
        <v>2023</v>
      </c>
      <c r="E451" s="17">
        <v>45034</v>
      </c>
      <c r="F451" s="4" t="s">
        <v>473</v>
      </c>
      <c r="G451" s="4" t="s">
        <v>19</v>
      </c>
      <c r="H451" s="4">
        <v>59</v>
      </c>
      <c r="I451" s="4" t="str" cm="1">
        <f t="array" ref="I451">_xlfn.IFS(
  H451&lt;30,"Young Adult",
  H451&lt;50,"Adult",
  H451&gt;=50,"Senior"
)</f>
        <v>Senior</v>
      </c>
      <c r="J451" s="4" t="s">
        <v>16</v>
      </c>
      <c r="K451" s="4">
        <v>2</v>
      </c>
      <c r="L451" s="5">
        <v>25</v>
      </c>
      <c r="M451" s="5">
        <f xml:space="preserve"> K451*L451</f>
        <v>50</v>
      </c>
      <c r="N451" s="14">
        <f xml:space="preserve"> M451 * $Q$3</f>
        <v>0.75</v>
      </c>
      <c r="O451" s="5"/>
    </row>
    <row r="452" spans="1:15">
      <c r="A452" s="2">
        <v>451</v>
      </c>
      <c r="B452" s="4">
        <f>DAY(E452)</f>
        <v>16</v>
      </c>
      <c r="C452" s="4">
        <f>MONTH(E452)</f>
        <v>12</v>
      </c>
      <c r="D452" s="4">
        <f>YEAR(E452)</f>
        <v>2023</v>
      </c>
      <c r="E452" s="3">
        <v>45276</v>
      </c>
      <c r="F452" s="4" t="s">
        <v>474</v>
      </c>
      <c r="G452" s="4" t="s">
        <v>19</v>
      </c>
      <c r="H452" s="4">
        <v>45</v>
      </c>
      <c r="I452" s="4" t="str" cm="1">
        <f t="array" ref="I452">_xlfn.IFS(
  H452&lt;30,"Young Adult",
  H452&lt;50,"Adult",
  H452&gt;=50,"Senior"
)</f>
        <v>Adult</v>
      </c>
      <c r="J452" s="4" t="s">
        <v>23</v>
      </c>
      <c r="K452" s="4">
        <v>1</v>
      </c>
      <c r="L452" s="5">
        <v>30</v>
      </c>
      <c r="M452" s="5">
        <f xml:space="preserve"> K452*L452</f>
        <v>30</v>
      </c>
      <c r="N452" s="14">
        <f xml:space="preserve"> M452 * $Q$3</f>
        <v>0.44999999999999996</v>
      </c>
      <c r="O452" s="5"/>
    </row>
    <row r="453" spans="1:15">
      <c r="A453" s="2">
        <v>452</v>
      </c>
      <c r="B453" s="4">
        <f>DAY(E453)</f>
        <v>8</v>
      </c>
      <c r="C453" s="4">
        <f>MONTH(E453)</f>
        <v>5</v>
      </c>
      <c r="D453" s="4">
        <f>YEAR(E453)</f>
        <v>2023</v>
      </c>
      <c r="E453" s="17">
        <v>45054</v>
      </c>
      <c r="F453" s="4" t="s">
        <v>475</v>
      </c>
      <c r="G453" s="4" t="s">
        <v>19</v>
      </c>
      <c r="H453" s="4">
        <v>48</v>
      </c>
      <c r="I453" s="4" t="str" cm="1">
        <f t="array" ref="I453">_xlfn.IFS(
  H453&lt;30,"Young Adult",
  H453&lt;50,"Adult",
  H453&gt;=50,"Senior"
)</f>
        <v>Adult</v>
      </c>
      <c r="J453" s="4" t="s">
        <v>20</v>
      </c>
      <c r="K453" s="4">
        <v>3</v>
      </c>
      <c r="L453" s="5">
        <v>500</v>
      </c>
      <c r="M453" s="5">
        <f xml:space="preserve"> K453*L453</f>
        <v>1500</v>
      </c>
      <c r="N453" s="14">
        <f xml:space="preserve"> M453 * $Q$3</f>
        <v>22.5</v>
      </c>
      <c r="O453" s="5"/>
    </row>
    <row r="454" spans="1:15">
      <c r="A454" s="2">
        <v>453</v>
      </c>
      <c r="B454" s="4">
        <f>DAY(E454)</f>
        <v>8</v>
      </c>
      <c r="C454" s="4">
        <f>MONTH(E454)</f>
        <v>12</v>
      </c>
      <c r="D454" s="4">
        <f>YEAR(E454)</f>
        <v>2023</v>
      </c>
      <c r="E454" s="3">
        <v>45268</v>
      </c>
      <c r="F454" s="4" t="s">
        <v>476</v>
      </c>
      <c r="G454" s="4" t="s">
        <v>19</v>
      </c>
      <c r="H454" s="4">
        <v>26</v>
      </c>
      <c r="I454" s="4" t="str" cm="1">
        <f t="array" ref="I454">_xlfn.IFS(
  H454&lt;30,"Young Adult",
  H454&lt;50,"Adult",
  H454&gt;=50,"Senior"
)</f>
        <v>Young Adult</v>
      </c>
      <c r="J454" s="4" t="s">
        <v>20</v>
      </c>
      <c r="K454" s="4">
        <v>2</v>
      </c>
      <c r="L454" s="5">
        <v>500</v>
      </c>
      <c r="M454" s="5">
        <f xml:space="preserve"> K454*L454</f>
        <v>1000</v>
      </c>
      <c r="N454" s="14">
        <f xml:space="preserve"> M454 * $Q$3</f>
        <v>15</v>
      </c>
      <c r="O454" s="5"/>
    </row>
    <row r="455" spans="1:15">
      <c r="A455" s="2">
        <v>454</v>
      </c>
      <c r="B455" s="4">
        <f>DAY(E455)</f>
        <v>22</v>
      </c>
      <c r="C455" s="4">
        <f>MONTH(E455)</f>
        <v>2</v>
      </c>
      <c r="D455" s="4">
        <f>YEAR(E455)</f>
        <v>2023</v>
      </c>
      <c r="E455" s="3">
        <v>44979</v>
      </c>
      <c r="F455" s="4" t="s">
        <v>477</v>
      </c>
      <c r="G455" s="4" t="s">
        <v>19</v>
      </c>
      <c r="H455" s="4">
        <v>46</v>
      </c>
      <c r="I455" s="4" t="str" cm="1">
        <f t="array" ref="I455">_xlfn.IFS(
  H455&lt;30,"Young Adult",
  H455&lt;50,"Adult",
  H455&gt;=50,"Senior"
)</f>
        <v>Adult</v>
      </c>
      <c r="J455" s="4" t="s">
        <v>16</v>
      </c>
      <c r="K455" s="4">
        <v>1</v>
      </c>
      <c r="L455" s="5">
        <v>25</v>
      </c>
      <c r="M455" s="5">
        <f xml:space="preserve"> K455*L455</f>
        <v>25</v>
      </c>
      <c r="N455" s="14">
        <f xml:space="preserve"> M455 * $Q$3</f>
        <v>0.375</v>
      </c>
      <c r="O455" s="5"/>
    </row>
    <row r="456" spans="1:15">
      <c r="A456" s="2">
        <v>455</v>
      </c>
      <c r="B456" s="4">
        <f>DAY(E456)</f>
        <v>1</v>
      </c>
      <c r="C456" s="4">
        <f>MONTH(E456)</f>
        <v>7</v>
      </c>
      <c r="D456" s="4">
        <f>YEAR(E456)</f>
        <v>2023</v>
      </c>
      <c r="E456" s="3">
        <v>45108</v>
      </c>
      <c r="F456" s="4" t="s">
        <v>478</v>
      </c>
      <c r="G456" s="4" t="s">
        <v>15</v>
      </c>
      <c r="H456" s="4">
        <v>31</v>
      </c>
      <c r="I456" s="4" t="str" cm="1">
        <f t="array" ref="I456">_xlfn.IFS(
  H456&lt;30,"Young Adult",
  H456&lt;50,"Adult",
  H456&gt;=50,"Senior"
)</f>
        <v>Adult</v>
      </c>
      <c r="J456" s="4" t="s">
        <v>23</v>
      </c>
      <c r="K456" s="4">
        <v>4</v>
      </c>
      <c r="L456" s="5">
        <v>25</v>
      </c>
      <c r="M456" s="5">
        <f xml:space="preserve"> K456*L456</f>
        <v>100</v>
      </c>
      <c r="N456" s="14">
        <f xml:space="preserve"> M456 * $Q$3</f>
        <v>1.5</v>
      </c>
      <c r="O456" s="5"/>
    </row>
    <row r="457" spans="1:15">
      <c r="A457" s="2">
        <v>456</v>
      </c>
      <c r="B457" s="4">
        <f>DAY(E457)</f>
        <v>14</v>
      </c>
      <c r="C457" s="4">
        <f>MONTH(E457)</f>
        <v>10</v>
      </c>
      <c r="D457" s="4">
        <f>YEAR(E457)</f>
        <v>2023</v>
      </c>
      <c r="E457" s="3">
        <v>45213</v>
      </c>
      <c r="F457" s="4" t="s">
        <v>479</v>
      </c>
      <c r="G457" s="4" t="s">
        <v>15</v>
      </c>
      <c r="H457" s="4">
        <v>57</v>
      </c>
      <c r="I457" s="4" t="str" cm="1">
        <f t="array" ref="I457">_xlfn.IFS(
  H457&lt;30,"Young Adult",
  H457&lt;50,"Adult",
  H457&gt;=50,"Senior"
)</f>
        <v>Senior</v>
      </c>
      <c r="J457" s="4" t="s">
        <v>23</v>
      </c>
      <c r="K457" s="4">
        <v>2</v>
      </c>
      <c r="L457" s="5">
        <v>30</v>
      </c>
      <c r="M457" s="5">
        <f xml:space="preserve"> K457*L457</f>
        <v>60</v>
      </c>
      <c r="N457" s="14">
        <f xml:space="preserve"> M457 * $Q$3</f>
        <v>0.89999999999999991</v>
      </c>
      <c r="O457" s="5"/>
    </row>
    <row r="458" spans="1:15">
      <c r="A458" s="2">
        <v>457</v>
      </c>
      <c r="B458" s="4">
        <f>DAY(E458)</f>
        <v>28</v>
      </c>
      <c r="C458" s="4">
        <f>MONTH(E458)</f>
        <v>7</v>
      </c>
      <c r="D458" s="4">
        <f>YEAR(E458)</f>
        <v>2023</v>
      </c>
      <c r="E458" s="3">
        <v>45135</v>
      </c>
      <c r="F458" s="4" t="s">
        <v>480</v>
      </c>
      <c r="G458" s="4" t="s">
        <v>19</v>
      </c>
      <c r="H458" s="4">
        <v>58</v>
      </c>
      <c r="I458" s="4" t="str" cm="1">
        <f t="array" ref="I458">_xlfn.IFS(
  H458&lt;30,"Young Adult",
  H458&lt;50,"Adult",
  H458&gt;=50,"Senior"
)</f>
        <v>Senior</v>
      </c>
      <c r="J458" s="4" t="s">
        <v>16</v>
      </c>
      <c r="K458" s="4">
        <v>3</v>
      </c>
      <c r="L458" s="5">
        <v>300</v>
      </c>
      <c r="M458" s="5">
        <f xml:space="preserve"> K458*L458</f>
        <v>900</v>
      </c>
      <c r="N458" s="14">
        <f xml:space="preserve"> M458 * $Q$3</f>
        <v>13.5</v>
      </c>
      <c r="O458" s="5"/>
    </row>
    <row r="459" spans="1:15">
      <c r="A459" s="2">
        <v>458</v>
      </c>
      <c r="B459" s="4">
        <f>DAY(E459)</f>
        <v>14</v>
      </c>
      <c r="C459" s="4">
        <f>MONTH(E459)</f>
        <v>11</v>
      </c>
      <c r="D459" s="4">
        <f>YEAR(E459)</f>
        <v>2023</v>
      </c>
      <c r="E459" s="3">
        <v>45244</v>
      </c>
      <c r="F459" s="4" t="s">
        <v>481</v>
      </c>
      <c r="G459" s="4" t="s">
        <v>19</v>
      </c>
      <c r="H459" s="4">
        <v>39</v>
      </c>
      <c r="I459" s="4" t="str" cm="1">
        <f t="array" ref="I459">_xlfn.IFS(
  H459&lt;30,"Young Adult",
  H459&lt;50,"Adult",
  H459&gt;=50,"Senior"
)</f>
        <v>Adult</v>
      </c>
      <c r="J459" s="4" t="s">
        <v>23</v>
      </c>
      <c r="K459" s="4">
        <v>4</v>
      </c>
      <c r="L459" s="5">
        <v>25</v>
      </c>
      <c r="M459" s="5">
        <f xml:space="preserve"> K459*L459</f>
        <v>100</v>
      </c>
      <c r="N459" s="14">
        <f xml:space="preserve"> M459 * $Q$3</f>
        <v>1.5</v>
      </c>
      <c r="O459" s="5"/>
    </row>
    <row r="460" spans="1:15">
      <c r="A460" s="2">
        <v>459</v>
      </c>
      <c r="B460" s="4">
        <f>DAY(E460)</f>
        <v>21</v>
      </c>
      <c r="C460" s="4">
        <f>MONTH(E460)</f>
        <v>3</v>
      </c>
      <c r="D460" s="4">
        <f>YEAR(E460)</f>
        <v>2023</v>
      </c>
      <c r="E460" s="17">
        <v>45006</v>
      </c>
      <c r="F460" s="4" t="s">
        <v>482</v>
      </c>
      <c r="G460" s="4" t="s">
        <v>15</v>
      </c>
      <c r="H460" s="4">
        <v>28</v>
      </c>
      <c r="I460" s="4" t="str" cm="1">
        <f t="array" ref="I460">_xlfn.IFS(
  H460&lt;30,"Young Adult",
  H460&lt;50,"Adult",
  H460&gt;=50,"Senior"
)</f>
        <v>Young Adult</v>
      </c>
      <c r="J460" s="4" t="s">
        <v>20</v>
      </c>
      <c r="K460" s="4">
        <v>4</v>
      </c>
      <c r="L460" s="5">
        <v>300</v>
      </c>
      <c r="M460" s="5">
        <f xml:space="preserve"> K460*L460</f>
        <v>1200</v>
      </c>
      <c r="N460" s="14">
        <f xml:space="preserve"> M460 * $Q$3</f>
        <v>18</v>
      </c>
      <c r="O460" s="5"/>
    </row>
    <row r="461" spans="1:15">
      <c r="A461" s="2">
        <v>460</v>
      </c>
      <c r="B461" s="4">
        <f>DAY(E461)</f>
        <v>2</v>
      </c>
      <c r="C461" s="4">
        <f>MONTH(E461)</f>
        <v>5</v>
      </c>
      <c r="D461" s="4">
        <f>YEAR(E461)</f>
        <v>2023</v>
      </c>
      <c r="E461" s="17">
        <v>45048</v>
      </c>
      <c r="F461" s="4" t="s">
        <v>483</v>
      </c>
      <c r="G461" s="4" t="s">
        <v>15</v>
      </c>
      <c r="H461" s="4">
        <v>40</v>
      </c>
      <c r="I461" s="4" t="str" cm="1">
        <f t="array" ref="I461">_xlfn.IFS(
  H461&lt;30,"Young Adult",
  H461&lt;50,"Adult",
  H461&gt;=50,"Senior"
)</f>
        <v>Adult</v>
      </c>
      <c r="J461" s="4" t="s">
        <v>16</v>
      </c>
      <c r="K461" s="4">
        <v>1</v>
      </c>
      <c r="L461" s="5">
        <v>50</v>
      </c>
      <c r="M461" s="5">
        <f xml:space="preserve"> K461*L461</f>
        <v>50</v>
      </c>
      <c r="N461" s="14">
        <f xml:space="preserve"> M461 * $Q$3</f>
        <v>0.75</v>
      </c>
      <c r="O461" s="5"/>
    </row>
    <row r="462" spans="1:15">
      <c r="A462" s="2">
        <v>461</v>
      </c>
      <c r="B462" s="4">
        <f>DAY(E462)</f>
        <v>25</v>
      </c>
      <c r="C462" s="4">
        <f>MONTH(E462)</f>
        <v>3</v>
      </c>
      <c r="D462" s="4">
        <f>YEAR(E462)</f>
        <v>2023</v>
      </c>
      <c r="E462" s="17">
        <v>45010</v>
      </c>
      <c r="F462" s="4" t="s">
        <v>484</v>
      </c>
      <c r="G462" s="4" t="s">
        <v>19</v>
      </c>
      <c r="H462" s="4">
        <v>18</v>
      </c>
      <c r="I462" s="4" t="str" cm="1">
        <f t="array" ref="I462">_xlfn.IFS(
  H462&lt;30,"Young Adult",
  H462&lt;50,"Adult",
  H462&gt;=50,"Senior"
)</f>
        <v>Young Adult</v>
      </c>
      <c r="J462" s="4" t="s">
        <v>16</v>
      </c>
      <c r="K462" s="4">
        <v>2</v>
      </c>
      <c r="L462" s="5">
        <v>500</v>
      </c>
      <c r="M462" s="5">
        <f xml:space="preserve"> K462*L462</f>
        <v>1000</v>
      </c>
      <c r="N462" s="14">
        <f xml:space="preserve"> M462 * $Q$3</f>
        <v>15</v>
      </c>
      <c r="O462" s="5"/>
    </row>
    <row r="463" spans="1:15">
      <c r="A463" s="2">
        <v>462</v>
      </c>
      <c r="B463" s="4">
        <f>DAY(E463)</f>
        <v>1</v>
      </c>
      <c r="C463" s="4">
        <f>MONTH(E463)</f>
        <v>4</v>
      </c>
      <c r="D463" s="4">
        <f>YEAR(E463)</f>
        <v>2023</v>
      </c>
      <c r="E463" s="17">
        <v>45017</v>
      </c>
      <c r="F463" s="4" t="s">
        <v>485</v>
      </c>
      <c r="G463" s="4" t="s">
        <v>15</v>
      </c>
      <c r="H463" s="4">
        <v>63</v>
      </c>
      <c r="I463" s="4" t="str" cm="1">
        <f t="array" ref="I463">_xlfn.IFS(
  H463&lt;30,"Young Adult",
  H463&lt;50,"Adult",
  H463&gt;=50,"Senior"
)</f>
        <v>Senior</v>
      </c>
      <c r="J463" s="4" t="s">
        <v>23</v>
      </c>
      <c r="K463" s="4">
        <v>4</v>
      </c>
      <c r="L463" s="5">
        <v>300</v>
      </c>
      <c r="M463" s="5">
        <f xml:space="preserve"> K463*L463</f>
        <v>1200</v>
      </c>
      <c r="N463" s="14">
        <f xml:space="preserve"> M463 * $Q$3</f>
        <v>18</v>
      </c>
      <c r="O463" s="5"/>
    </row>
    <row r="464" spans="1:15">
      <c r="A464" s="2">
        <v>463</v>
      </c>
      <c r="B464" s="4">
        <f>DAY(E464)</f>
        <v>31</v>
      </c>
      <c r="C464" s="4">
        <f>MONTH(E464)</f>
        <v>7</v>
      </c>
      <c r="D464" s="4">
        <f>YEAR(E464)</f>
        <v>2023</v>
      </c>
      <c r="E464" s="3">
        <v>45138</v>
      </c>
      <c r="F464" s="4" t="s">
        <v>486</v>
      </c>
      <c r="G464" s="4" t="s">
        <v>19</v>
      </c>
      <c r="H464" s="4">
        <v>54</v>
      </c>
      <c r="I464" s="4" t="str" cm="1">
        <f t="array" ref="I464">_xlfn.IFS(
  H464&lt;30,"Young Adult",
  H464&lt;50,"Adult",
  H464&gt;=50,"Senior"
)</f>
        <v>Senior</v>
      </c>
      <c r="J464" s="4" t="s">
        <v>16</v>
      </c>
      <c r="K464" s="4">
        <v>3</v>
      </c>
      <c r="L464" s="5">
        <v>500</v>
      </c>
      <c r="M464" s="5">
        <f xml:space="preserve"> K464*L464</f>
        <v>1500</v>
      </c>
      <c r="N464" s="14">
        <f xml:space="preserve"> M464 * $Q$3</f>
        <v>22.5</v>
      </c>
      <c r="O464" s="5"/>
    </row>
    <row r="465" spans="1:15">
      <c r="A465" s="2">
        <v>464</v>
      </c>
      <c r="B465" s="4">
        <f>DAY(E465)</f>
        <v>13</v>
      </c>
      <c r="C465" s="4">
        <f>MONTH(E465)</f>
        <v>1</v>
      </c>
      <c r="D465" s="4">
        <f>YEAR(E465)</f>
        <v>2023</v>
      </c>
      <c r="E465" s="3">
        <v>44939</v>
      </c>
      <c r="F465" s="4" t="s">
        <v>487</v>
      </c>
      <c r="G465" s="4" t="s">
        <v>15</v>
      </c>
      <c r="H465" s="4">
        <v>38</v>
      </c>
      <c r="I465" s="4" t="str" cm="1">
        <f t="array" ref="I465">_xlfn.IFS(
  H465&lt;30,"Young Adult",
  H465&lt;50,"Adult",
  H465&gt;=50,"Senior"
)</f>
        <v>Adult</v>
      </c>
      <c r="J465" s="4" t="s">
        <v>23</v>
      </c>
      <c r="K465" s="4">
        <v>2</v>
      </c>
      <c r="L465" s="5">
        <v>300</v>
      </c>
      <c r="M465" s="5">
        <f xml:space="preserve"> K465*L465</f>
        <v>600</v>
      </c>
      <c r="N465" s="14">
        <f xml:space="preserve"> M465 * $Q$3</f>
        <v>9</v>
      </c>
      <c r="O465" s="5"/>
    </row>
    <row r="466" spans="1:15">
      <c r="A466" s="2">
        <v>465</v>
      </c>
      <c r="B466" s="4">
        <f>DAY(E466)</f>
        <v>2</v>
      </c>
      <c r="C466" s="4">
        <f>MONTH(E466)</f>
        <v>4</v>
      </c>
      <c r="D466" s="4">
        <f>YEAR(E466)</f>
        <v>2023</v>
      </c>
      <c r="E466" s="17">
        <v>45018</v>
      </c>
      <c r="F466" s="4" t="s">
        <v>488</v>
      </c>
      <c r="G466" s="4" t="s">
        <v>19</v>
      </c>
      <c r="H466" s="4">
        <v>43</v>
      </c>
      <c r="I466" s="4" t="str" cm="1">
        <f t="array" ref="I466">_xlfn.IFS(
  H466&lt;30,"Young Adult",
  H466&lt;50,"Adult",
  H466&gt;=50,"Senior"
)</f>
        <v>Adult</v>
      </c>
      <c r="J466" s="4" t="s">
        <v>23</v>
      </c>
      <c r="K466" s="4">
        <v>3</v>
      </c>
      <c r="L466" s="5">
        <v>50</v>
      </c>
      <c r="M466" s="5">
        <f xml:space="preserve"> K466*L466</f>
        <v>150</v>
      </c>
      <c r="N466" s="14">
        <f xml:space="preserve"> M466 * $Q$3</f>
        <v>2.25</v>
      </c>
      <c r="O466" s="5"/>
    </row>
    <row r="467" spans="1:15">
      <c r="A467" s="2">
        <v>466</v>
      </c>
      <c r="B467" s="4">
        <f>DAY(E467)</f>
        <v>20</v>
      </c>
      <c r="C467" s="4">
        <f>MONTH(E467)</f>
        <v>6</v>
      </c>
      <c r="D467" s="4">
        <f>YEAR(E467)</f>
        <v>2023</v>
      </c>
      <c r="E467" s="3">
        <v>45097</v>
      </c>
      <c r="F467" s="4" t="s">
        <v>489</v>
      </c>
      <c r="G467" s="4" t="s">
        <v>15</v>
      </c>
      <c r="H467" s="4">
        <v>63</v>
      </c>
      <c r="I467" s="4" t="str" cm="1">
        <f t="array" ref="I467">_xlfn.IFS(
  H467&lt;30,"Young Adult",
  H467&lt;50,"Adult",
  H467&gt;=50,"Senior"
)</f>
        <v>Senior</v>
      </c>
      <c r="J467" s="4" t="s">
        <v>23</v>
      </c>
      <c r="K467" s="4">
        <v>4</v>
      </c>
      <c r="L467" s="5">
        <v>25</v>
      </c>
      <c r="M467" s="5">
        <f xml:space="preserve"> K467*L467</f>
        <v>100</v>
      </c>
      <c r="N467" s="14">
        <f xml:space="preserve"> M467 * $Q$3</f>
        <v>1.5</v>
      </c>
      <c r="O467" s="5"/>
    </row>
    <row r="468" spans="1:15">
      <c r="A468" s="2">
        <v>467</v>
      </c>
      <c r="B468" s="4">
        <f>DAY(E468)</f>
        <v>30</v>
      </c>
      <c r="C468" s="4">
        <f>MONTH(E468)</f>
        <v>7</v>
      </c>
      <c r="D468" s="4">
        <f>YEAR(E468)</f>
        <v>2023</v>
      </c>
      <c r="E468" s="3">
        <v>45137</v>
      </c>
      <c r="F468" s="4" t="s">
        <v>490</v>
      </c>
      <c r="G468" s="4" t="s">
        <v>19</v>
      </c>
      <c r="H468" s="4">
        <v>53</v>
      </c>
      <c r="I468" s="4" t="str" cm="1">
        <f t="array" ref="I468">_xlfn.IFS(
  H468&lt;30,"Young Adult",
  H468&lt;50,"Adult",
  H468&gt;=50,"Senior"
)</f>
        <v>Senior</v>
      </c>
      <c r="J468" s="4" t="s">
        <v>23</v>
      </c>
      <c r="K468" s="4">
        <v>3</v>
      </c>
      <c r="L468" s="5">
        <v>50</v>
      </c>
      <c r="M468" s="5">
        <f xml:space="preserve"> K468*L468</f>
        <v>150</v>
      </c>
      <c r="N468" s="14">
        <f xml:space="preserve"> M468 * $Q$3</f>
        <v>2.25</v>
      </c>
      <c r="O468" s="5"/>
    </row>
    <row r="469" spans="1:15">
      <c r="A469" s="2">
        <v>468</v>
      </c>
      <c r="B469" s="4">
        <f>DAY(E469)</f>
        <v>9</v>
      </c>
      <c r="C469" s="4">
        <f>MONTH(E469)</f>
        <v>12</v>
      </c>
      <c r="D469" s="4">
        <f>YEAR(E469)</f>
        <v>2023</v>
      </c>
      <c r="E469" s="3">
        <v>45269</v>
      </c>
      <c r="F469" s="4" t="s">
        <v>491</v>
      </c>
      <c r="G469" s="4" t="s">
        <v>15</v>
      </c>
      <c r="H469" s="4">
        <v>40</v>
      </c>
      <c r="I469" s="4" t="str" cm="1">
        <f t="array" ref="I469">_xlfn.IFS(
  H469&lt;30,"Young Adult",
  H469&lt;50,"Adult",
  H469&gt;=50,"Senior"
)</f>
        <v>Adult</v>
      </c>
      <c r="J469" s="4" t="s">
        <v>23</v>
      </c>
      <c r="K469" s="4">
        <v>1</v>
      </c>
      <c r="L469" s="5">
        <v>25</v>
      </c>
      <c r="M469" s="5">
        <f xml:space="preserve"> K469*L469</f>
        <v>25</v>
      </c>
      <c r="N469" s="14">
        <f xml:space="preserve"> M469 * $Q$3</f>
        <v>0.375</v>
      </c>
      <c r="O469" s="5"/>
    </row>
    <row r="470" spans="1:15">
      <c r="A470" s="2">
        <v>469</v>
      </c>
      <c r="B470" s="4">
        <f>DAY(E470)</f>
        <v>8</v>
      </c>
      <c r="C470" s="4">
        <f>MONTH(E470)</f>
        <v>5</v>
      </c>
      <c r="D470" s="4">
        <f>YEAR(E470)</f>
        <v>2023</v>
      </c>
      <c r="E470" s="17">
        <v>45054</v>
      </c>
      <c r="F470" s="4" t="s">
        <v>492</v>
      </c>
      <c r="G470" s="4" t="s">
        <v>15</v>
      </c>
      <c r="H470" s="4">
        <v>18</v>
      </c>
      <c r="I470" s="4" t="str" cm="1">
        <f t="array" ref="I470">_xlfn.IFS(
  H470&lt;30,"Young Adult",
  H470&lt;50,"Adult",
  H470&gt;=50,"Senior"
)</f>
        <v>Young Adult</v>
      </c>
      <c r="J470" s="4" t="s">
        <v>16</v>
      </c>
      <c r="K470" s="4">
        <v>3</v>
      </c>
      <c r="L470" s="5">
        <v>25</v>
      </c>
      <c r="M470" s="5">
        <f xml:space="preserve"> K470*L470</f>
        <v>75</v>
      </c>
      <c r="N470" s="14">
        <f xml:space="preserve"> M470 * $Q$3</f>
        <v>1.125</v>
      </c>
      <c r="O470" s="5"/>
    </row>
    <row r="471" spans="1:15">
      <c r="A471" s="2">
        <v>470</v>
      </c>
      <c r="B471" s="4">
        <f>DAY(E471)</f>
        <v>17</v>
      </c>
      <c r="C471" s="4">
        <f>MONTH(E471)</f>
        <v>5</v>
      </c>
      <c r="D471" s="4">
        <f>YEAR(E471)</f>
        <v>2023</v>
      </c>
      <c r="E471" s="17">
        <v>45063</v>
      </c>
      <c r="F471" s="4" t="s">
        <v>493</v>
      </c>
      <c r="G471" s="4" t="s">
        <v>19</v>
      </c>
      <c r="H471" s="4">
        <v>57</v>
      </c>
      <c r="I471" s="4" t="str" cm="1">
        <f t="array" ref="I471">_xlfn.IFS(
  H471&lt;30,"Young Adult",
  H471&lt;50,"Adult",
  H471&gt;=50,"Senior"
)</f>
        <v>Senior</v>
      </c>
      <c r="J471" s="4" t="s">
        <v>20</v>
      </c>
      <c r="K471" s="4">
        <v>2</v>
      </c>
      <c r="L471" s="5">
        <v>500</v>
      </c>
      <c r="M471" s="5">
        <f xml:space="preserve"> K471*L471</f>
        <v>1000</v>
      </c>
      <c r="N471" s="14">
        <f xml:space="preserve"> M471 * $Q$3</f>
        <v>15</v>
      </c>
      <c r="O471" s="5"/>
    </row>
    <row r="472" spans="1:15">
      <c r="A472" s="2">
        <v>471</v>
      </c>
      <c r="B472" s="4">
        <f>DAY(E472)</f>
        <v>23</v>
      </c>
      <c r="C472" s="4">
        <f>MONTH(E472)</f>
        <v>3</v>
      </c>
      <c r="D472" s="4">
        <f>YEAR(E472)</f>
        <v>2023</v>
      </c>
      <c r="E472" s="17">
        <v>45008</v>
      </c>
      <c r="F472" s="4" t="s">
        <v>494</v>
      </c>
      <c r="G472" s="4" t="s">
        <v>15</v>
      </c>
      <c r="H472" s="4">
        <v>32</v>
      </c>
      <c r="I472" s="4" t="str" cm="1">
        <f t="array" ref="I472">_xlfn.IFS(
  H472&lt;30,"Young Adult",
  H472&lt;50,"Adult",
  H472&gt;=50,"Senior"
)</f>
        <v>Adult</v>
      </c>
      <c r="J472" s="4" t="s">
        <v>20</v>
      </c>
      <c r="K472" s="4">
        <v>3</v>
      </c>
      <c r="L472" s="5">
        <v>50</v>
      </c>
      <c r="M472" s="5">
        <f xml:space="preserve"> K472*L472</f>
        <v>150</v>
      </c>
      <c r="N472" s="14">
        <f xml:space="preserve"> M472 * $Q$3</f>
        <v>2.25</v>
      </c>
      <c r="O472" s="5"/>
    </row>
    <row r="473" spans="1:15">
      <c r="A473" s="2">
        <v>472</v>
      </c>
      <c r="B473" s="4">
        <f>DAY(E473)</f>
        <v>26</v>
      </c>
      <c r="C473" s="4">
        <f>MONTH(E473)</f>
        <v>12</v>
      </c>
      <c r="D473" s="4">
        <f>YEAR(E473)</f>
        <v>2023</v>
      </c>
      <c r="E473" s="3">
        <v>45286</v>
      </c>
      <c r="F473" s="4" t="s">
        <v>495</v>
      </c>
      <c r="G473" s="4" t="s">
        <v>19</v>
      </c>
      <c r="H473" s="4">
        <v>38</v>
      </c>
      <c r="I473" s="4" t="str" cm="1">
        <f t="array" ref="I473">_xlfn.IFS(
  H473&lt;30,"Young Adult",
  H473&lt;50,"Adult",
  H473&gt;=50,"Senior"
)</f>
        <v>Adult</v>
      </c>
      <c r="J473" s="4" t="s">
        <v>16</v>
      </c>
      <c r="K473" s="4">
        <v>3</v>
      </c>
      <c r="L473" s="5">
        <v>300</v>
      </c>
      <c r="M473" s="5">
        <f xml:space="preserve"> K473*L473</f>
        <v>900</v>
      </c>
      <c r="N473" s="14">
        <f xml:space="preserve"> M473 * $Q$3</f>
        <v>13.5</v>
      </c>
      <c r="O473" s="5"/>
    </row>
    <row r="474" spans="1:15">
      <c r="A474" s="2">
        <v>473</v>
      </c>
      <c r="B474" s="4">
        <f>DAY(E474)</f>
        <v>25</v>
      </c>
      <c r="C474" s="4">
        <f>MONTH(E474)</f>
        <v>2</v>
      </c>
      <c r="D474" s="4">
        <f>YEAR(E474)</f>
        <v>2023</v>
      </c>
      <c r="E474" s="3">
        <v>44982</v>
      </c>
      <c r="F474" s="4" t="s">
        <v>496</v>
      </c>
      <c r="G474" s="4" t="s">
        <v>15</v>
      </c>
      <c r="H474" s="4">
        <v>64</v>
      </c>
      <c r="I474" s="4" t="str" cm="1">
        <f t="array" ref="I474">_xlfn.IFS(
  H474&lt;30,"Young Adult",
  H474&lt;50,"Adult",
  H474&gt;=50,"Senior"
)</f>
        <v>Senior</v>
      </c>
      <c r="J474" s="4" t="s">
        <v>16</v>
      </c>
      <c r="K474" s="4">
        <v>1</v>
      </c>
      <c r="L474" s="5">
        <v>50</v>
      </c>
      <c r="M474" s="5">
        <f xml:space="preserve"> K474*L474</f>
        <v>50</v>
      </c>
      <c r="N474" s="14">
        <f xml:space="preserve"> M474 * $Q$3</f>
        <v>0.75</v>
      </c>
      <c r="O474" s="5"/>
    </row>
    <row r="475" spans="1:15">
      <c r="A475" s="2">
        <v>474</v>
      </c>
      <c r="B475" s="4">
        <f>DAY(E475)</f>
        <v>15</v>
      </c>
      <c r="C475" s="4">
        <f>MONTH(E475)</f>
        <v>7</v>
      </c>
      <c r="D475" s="4">
        <f>YEAR(E475)</f>
        <v>2023</v>
      </c>
      <c r="E475" s="3">
        <v>45122</v>
      </c>
      <c r="F475" s="4" t="s">
        <v>497</v>
      </c>
      <c r="G475" s="4" t="s">
        <v>19</v>
      </c>
      <c r="H475" s="4">
        <v>26</v>
      </c>
      <c r="I475" s="4" t="str" cm="1">
        <f t="array" ref="I475">_xlfn.IFS(
  H475&lt;30,"Young Adult",
  H475&lt;50,"Adult",
  H475&gt;=50,"Senior"
)</f>
        <v>Young Adult</v>
      </c>
      <c r="J475" s="4" t="s">
        <v>20</v>
      </c>
      <c r="K475" s="4">
        <v>3</v>
      </c>
      <c r="L475" s="5">
        <v>500</v>
      </c>
      <c r="M475" s="5">
        <f xml:space="preserve"> K475*L475</f>
        <v>1500</v>
      </c>
      <c r="N475" s="14">
        <f xml:space="preserve"> M475 * $Q$3</f>
        <v>22.5</v>
      </c>
      <c r="O475" s="5"/>
    </row>
    <row r="476" spans="1:15">
      <c r="A476" s="2">
        <v>475</v>
      </c>
      <c r="B476" s="4">
        <f>DAY(E476)</f>
        <v>20</v>
      </c>
      <c r="C476" s="4">
        <f>MONTH(E476)</f>
        <v>1</v>
      </c>
      <c r="D476" s="4">
        <f>YEAR(E476)</f>
        <v>2023</v>
      </c>
      <c r="E476" s="3">
        <v>44946</v>
      </c>
      <c r="F476" s="4" t="s">
        <v>498</v>
      </c>
      <c r="G476" s="4" t="s">
        <v>15</v>
      </c>
      <c r="H476" s="4">
        <v>26</v>
      </c>
      <c r="I476" s="4" t="str" cm="1">
        <f t="array" ref="I476">_xlfn.IFS(
  H476&lt;30,"Young Adult",
  H476&lt;50,"Adult",
  H476&gt;=50,"Senior"
)</f>
        <v>Young Adult</v>
      </c>
      <c r="J476" s="4" t="s">
        <v>20</v>
      </c>
      <c r="K476" s="4">
        <v>3</v>
      </c>
      <c r="L476" s="5">
        <v>25</v>
      </c>
      <c r="M476" s="5">
        <f xml:space="preserve"> K476*L476</f>
        <v>75</v>
      </c>
      <c r="N476" s="14">
        <f xml:space="preserve"> M476 * $Q$3</f>
        <v>1.125</v>
      </c>
      <c r="O476" s="5"/>
    </row>
    <row r="477" spans="1:15">
      <c r="A477" s="2">
        <v>476</v>
      </c>
      <c r="B477" s="4">
        <f>DAY(E477)</f>
        <v>29</v>
      </c>
      <c r="C477" s="4">
        <f>MONTH(E477)</f>
        <v>8</v>
      </c>
      <c r="D477" s="4">
        <f>YEAR(E477)</f>
        <v>2023</v>
      </c>
      <c r="E477" s="3">
        <v>45167</v>
      </c>
      <c r="F477" s="4" t="s">
        <v>499</v>
      </c>
      <c r="G477" s="4" t="s">
        <v>19</v>
      </c>
      <c r="H477" s="4">
        <v>27</v>
      </c>
      <c r="I477" s="4" t="str" cm="1">
        <f t="array" ref="I477">_xlfn.IFS(
  H477&lt;30,"Young Adult",
  H477&lt;50,"Adult",
  H477&gt;=50,"Senior"
)</f>
        <v>Young Adult</v>
      </c>
      <c r="J477" s="4" t="s">
        <v>20</v>
      </c>
      <c r="K477" s="4">
        <v>4</v>
      </c>
      <c r="L477" s="5">
        <v>500</v>
      </c>
      <c r="M477" s="5">
        <f xml:space="preserve"> K477*L477</f>
        <v>2000</v>
      </c>
      <c r="N477" s="14">
        <f xml:space="preserve"> M477 * $Q$3</f>
        <v>30</v>
      </c>
      <c r="O477" s="5"/>
    </row>
    <row r="478" spans="1:15">
      <c r="A478" s="2">
        <v>477</v>
      </c>
      <c r="B478" s="4">
        <f>DAY(E478)</f>
        <v>24</v>
      </c>
      <c r="C478" s="4">
        <f>MONTH(E478)</f>
        <v>4</v>
      </c>
      <c r="D478" s="4">
        <f>YEAR(E478)</f>
        <v>2023</v>
      </c>
      <c r="E478" s="17">
        <v>45040</v>
      </c>
      <c r="F478" s="4" t="s">
        <v>500</v>
      </c>
      <c r="G478" s="4" t="s">
        <v>15</v>
      </c>
      <c r="H478" s="4">
        <v>43</v>
      </c>
      <c r="I478" s="4" t="str" cm="1">
        <f t="array" ref="I478">_xlfn.IFS(
  H478&lt;30,"Young Adult",
  H478&lt;50,"Adult",
  H478&gt;=50,"Senior"
)</f>
        <v>Adult</v>
      </c>
      <c r="J478" s="4" t="s">
        <v>20</v>
      </c>
      <c r="K478" s="4">
        <v>4</v>
      </c>
      <c r="L478" s="5">
        <v>30</v>
      </c>
      <c r="M478" s="5">
        <f xml:space="preserve"> K478*L478</f>
        <v>120</v>
      </c>
      <c r="N478" s="14">
        <f xml:space="preserve"> M478 * $Q$3</f>
        <v>1.7999999999999998</v>
      </c>
      <c r="O478" s="5"/>
    </row>
    <row r="479" spans="1:15">
      <c r="A479" s="2">
        <v>478</v>
      </c>
      <c r="B479" s="4">
        <f>DAY(E479)</f>
        <v>13</v>
      </c>
      <c r="C479" s="4">
        <f>MONTH(E479)</f>
        <v>4</v>
      </c>
      <c r="D479" s="4">
        <f>YEAR(E479)</f>
        <v>2023</v>
      </c>
      <c r="E479" s="17">
        <v>45029</v>
      </c>
      <c r="F479" s="4" t="s">
        <v>501</v>
      </c>
      <c r="G479" s="4" t="s">
        <v>19</v>
      </c>
      <c r="H479" s="4">
        <v>58</v>
      </c>
      <c r="I479" s="4" t="str" cm="1">
        <f t="array" ref="I479">_xlfn.IFS(
  H479&lt;30,"Young Adult",
  H479&lt;50,"Adult",
  H479&gt;=50,"Senior"
)</f>
        <v>Senior</v>
      </c>
      <c r="J479" s="4" t="s">
        <v>20</v>
      </c>
      <c r="K479" s="4">
        <v>2</v>
      </c>
      <c r="L479" s="5">
        <v>30</v>
      </c>
      <c r="M479" s="5">
        <f xml:space="preserve"> K479*L479</f>
        <v>60</v>
      </c>
      <c r="N479" s="14">
        <f xml:space="preserve"> M479 * $Q$3</f>
        <v>0.89999999999999991</v>
      </c>
      <c r="O479" s="5"/>
    </row>
    <row r="480" spans="1:15">
      <c r="A480" s="2">
        <v>479</v>
      </c>
      <c r="B480" s="4">
        <f>DAY(E480)</f>
        <v>24</v>
      </c>
      <c r="C480" s="4">
        <f>MONTH(E480)</f>
        <v>8</v>
      </c>
      <c r="D480" s="4">
        <f>YEAR(E480)</f>
        <v>2023</v>
      </c>
      <c r="E480" s="3">
        <v>45162</v>
      </c>
      <c r="F480" s="4" t="s">
        <v>502</v>
      </c>
      <c r="G480" s="4" t="s">
        <v>15</v>
      </c>
      <c r="H480" s="4">
        <v>52</v>
      </c>
      <c r="I480" s="4" t="str" cm="1">
        <f t="array" ref="I480">_xlfn.IFS(
  H480&lt;30,"Young Adult",
  H480&lt;50,"Adult",
  H480&gt;=50,"Senior"
)</f>
        <v>Senior</v>
      </c>
      <c r="J480" s="4" t="s">
        <v>23</v>
      </c>
      <c r="K480" s="4">
        <v>4</v>
      </c>
      <c r="L480" s="5">
        <v>300</v>
      </c>
      <c r="M480" s="5">
        <f xml:space="preserve"> K480*L480</f>
        <v>1200</v>
      </c>
      <c r="N480" s="14">
        <f xml:space="preserve"> M480 * $Q$3</f>
        <v>18</v>
      </c>
      <c r="O480" s="5"/>
    </row>
    <row r="481" spans="1:15">
      <c r="A481" s="2">
        <v>480</v>
      </c>
      <c r="B481" s="4">
        <f>DAY(E481)</f>
        <v>29</v>
      </c>
      <c r="C481" s="4">
        <f>MONTH(E481)</f>
        <v>6</v>
      </c>
      <c r="D481" s="4">
        <f>YEAR(E481)</f>
        <v>2023</v>
      </c>
      <c r="E481" s="3">
        <v>45106</v>
      </c>
      <c r="F481" s="4" t="s">
        <v>503</v>
      </c>
      <c r="G481" s="4" t="s">
        <v>19</v>
      </c>
      <c r="H481" s="4">
        <v>42</v>
      </c>
      <c r="I481" s="4" t="str" cm="1">
        <f t="array" ref="I481">_xlfn.IFS(
  H481&lt;30,"Young Adult",
  H481&lt;50,"Adult",
  H481&gt;=50,"Senior"
)</f>
        <v>Adult</v>
      </c>
      <c r="J481" s="4" t="s">
        <v>16</v>
      </c>
      <c r="K481" s="4">
        <v>4</v>
      </c>
      <c r="L481" s="5">
        <v>500</v>
      </c>
      <c r="M481" s="5">
        <f xml:space="preserve"> K481*L481</f>
        <v>2000</v>
      </c>
      <c r="N481" s="14">
        <f xml:space="preserve"> M481 * $Q$3</f>
        <v>30</v>
      </c>
      <c r="O481" s="5"/>
    </row>
    <row r="482" spans="1:15">
      <c r="A482" s="2">
        <v>481</v>
      </c>
      <c r="B482" s="4">
        <f>DAY(E482)</f>
        <v>6</v>
      </c>
      <c r="C482" s="4">
        <f>MONTH(E482)</f>
        <v>6</v>
      </c>
      <c r="D482" s="4">
        <f>YEAR(E482)</f>
        <v>2023</v>
      </c>
      <c r="E482" s="3">
        <v>45083</v>
      </c>
      <c r="F482" s="4" t="s">
        <v>504</v>
      </c>
      <c r="G482" s="4" t="s">
        <v>19</v>
      </c>
      <c r="H482" s="4">
        <v>43</v>
      </c>
      <c r="I482" s="4" t="str" cm="1">
        <f t="array" ref="I482">_xlfn.IFS(
  H482&lt;30,"Young Adult",
  H482&lt;50,"Adult",
  H482&gt;=50,"Senior"
)</f>
        <v>Adult</v>
      </c>
      <c r="J482" s="4" t="s">
        <v>23</v>
      </c>
      <c r="K482" s="4">
        <v>4</v>
      </c>
      <c r="L482" s="5">
        <v>300</v>
      </c>
      <c r="M482" s="5">
        <f xml:space="preserve"> K482*L482</f>
        <v>1200</v>
      </c>
      <c r="N482" s="14">
        <f xml:space="preserve"> M482 * $Q$3</f>
        <v>18</v>
      </c>
      <c r="O482" s="5"/>
    </row>
    <row r="483" spans="1:15">
      <c r="A483" s="2">
        <v>482</v>
      </c>
      <c r="B483" s="4">
        <f>DAY(E483)</f>
        <v>27</v>
      </c>
      <c r="C483" s="4">
        <f>MONTH(E483)</f>
        <v>4</v>
      </c>
      <c r="D483" s="4">
        <f>YEAR(E483)</f>
        <v>2023</v>
      </c>
      <c r="E483" s="17">
        <v>45043</v>
      </c>
      <c r="F483" s="4" t="s">
        <v>505</v>
      </c>
      <c r="G483" s="4" t="s">
        <v>19</v>
      </c>
      <c r="H483" s="4">
        <v>28</v>
      </c>
      <c r="I483" s="4" t="str" cm="1">
        <f t="array" ref="I483">_xlfn.IFS(
  H483&lt;30,"Young Adult",
  H483&lt;50,"Adult",
  H483&gt;=50,"Senior"
)</f>
        <v>Young Adult</v>
      </c>
      <c r="J483" s="4" t="s">
        <v>20</v>
      </c>
      <c r="K483" s="4">
        <v>4</v>
      </c>
      <c r="L483" s="5">
        <v>300</v>
      </c>
      <c r="M483" s="5">
        <f xml:space="preserve"> K483*L483</f>
        <v>1200</v>
      </c>
      <c r="N483" s="14">
        <f xml:space="preserve"> M483 * $Q$3</f>
        <v>18</v>
      </c>
      <c r="O483" s="5"/>
    </row>
    <row r="484" spans="1:15">
      <c r="A484" s="2">
        <v>483</v>
      </c>
      <c r="B484" s="4">
        <f>DAY(E484)</f>
        <v>25</v>
      </c>
      <c r="C484" s="4">
        <f>MONTH(E484)</f>
        <v>4</v>
      </c>
      <c r="D484" s="4">
        <f>YEAR(E484)</f>
        <v>2023</v>
      </c>
      <c r="E484" s="17">
        <v>45041</v>
      </c>
      <c r="F484" s="4" t="s">
        <v>506</v>
      </c>
      <c r="G484" s="4" t="s">
        <v>15</v>
      </c>
      <c r="H484" s="4">
        <v>55</v>
      </c>
      <c r="I484" s="4" t="str" cm="1">
        <f t="array" ref="I484">_xlfn.IFS(
  H484&lt;30,"Young Adult",
  H484&lt;50,"Adult",
  H484&gt;=50,"Senior"
)</f>
        <v>Senior</v>
      </c>
      <c r="J484" s="4" t="s">
        <v>20</v>
      </c>
      <c r="K484" s="4">
        <v>1</v>
      </c>
      <c r="L484" s="5">
        <v>30</v>
      </c>
      <c r="M484" s="5">
        <f xml:space="preserve"> K484*L484</f>
        <v>30</v>
      </c>
      <c r="N484" s="14">
        <f xml:space="preserve"> M484 * $Q$3</f>
        <v>0.44999999999999996</v>
      </c>
      <c r="O484" s="5"/>
    </row>
    <row r="485" spans="1:15">
      <c r="A485" s="2">
        <v>484</v>
      </c>
      <c r="B485" s="4">
        <f>DAY(E485)</f>
        <v>13</v>
      </c>
      <c r="C485" s="4">
        <f>MONTH(E485)</f>
        <v>1</v>
      </c>
      <c r="D485" s="4">
        <f>YEAR(E485)</f>
        <v>2023</v>
      </c>
      <c r="E485" s="3">
        <v>44939</v>
      </c>
      <c r="F485" s="4" t="s">
        <v>507</v>
      </c>
      <c r="G485" s="4" t="s">
        <v>19</v>
      </c>
      <c r="H485" s="4">
        <v>19</v>
      </c>
      <c r="I485" s="4" t="str" cm="1">
        <f t="array" ref="I485">_xlfn.IFS(
  H485&lt;30,"Young Adult",
  H485&lt;50,"Adult",
  H485&gt;=50,"Senior"
)</f>
        <v>Young Adult</v>
      </c>
      <c r="J485" s="4" t="s">
        <v>20</v>
      </c>
      <c r="K485" s="4">
        <v>4</v>
      </c>
      <c r="L485" s="5">
        <v>300</v>
      </c>
      <c r="M485" s="5">
        <f xml:space="preserve"> K485*L485</f>
        <v>1200</v>
      </c>
      <c r="N485" s="14">
        <f xml:space="preserve"> M485 * $Q$3</f>
        <v>18</v>
      </c>
      <c r="O485" s="5"/>
    </row>
    <row r="486" spans="1:15">
      <c r="A486" s="2">
        <v>485</v>
      </c>
      <c r="B486" s="4">
        <f>DAY(E486)</f>
        <v>4</v>
      </c>
      <c r="C486" s="4">
        <f>MONTH(E486)</f>
        <v>12</v>
      </c>
      <c r="D486" s="4">
        <f>YEAR(E486)</f>
        <v>2023</v>
      </c>
      <c r="E486" s="3">
        <v>45264</v>
      </c>
      <c r="F486" s="4" t="s">
        <v>508</v>
      </c>
      <c r="G486" s="4" t="s">
        <v>15</v>
      </c>
      <c r="H486" s="4">
        <v>24</v>
      </c>
      <c r="I486" s="4" t="str" cm="1">
        <f t="array" ref="I486">_xlfn.IFS(
  H486&lt;30,"Young Adult",
  H486&lt;50,"Adult",
  H486&gt;=50,"Senior"
)</f>
        <v>Young Adult</v>
      </c>
      <c r="J486" s="4" t="s">
        <v>23</v>
      </c>
      <c r="K486" s="4">
        <v>1</v>
      </c>
      <c r="L486" s="5">
        <v>30</v>
      </c>
      <c r="M486" s="5">
        <f xml:space="preserve"> K486*L486</f>
        <v>30</v>
      </c>
      <c r="N486" s="14">
        <f xml:space="preserve"> M486 * $Q$3</f>
        <v>0.44999999999999996</v>
      </c>
      <c r="O486" s="5"/>
    </row>
    <row r="487" spans="1:15">
      <c r="A487" s="2">
        <v>486</v>
      </c>
      <c r="B487" s="4">
        <f>DAY(E487)</f>
        <v>9</v>
      </c>
      <c r="C487" s="4">
        <f>MONTH(E487)</f>
        <v>4</v>
      </c>
      <c r="D487" s="4">
        <f>YEAR(E487)</f>
        <v>2023</v>
      </c>
      <c r="E487" s="17">
        <v>45025</v>
      </c>
      <c r="F487" s="4" t="s">
        <v>509</v>
      </c>
      <c r="G487" s="4" t="s">
        <v>19</v>
      </c>
      <c r="H487" s="4">
        <v>35</v>
      </c>
      <c r="I487" s="4" t="str" cm="1">
        <f t="array" ref="I487">_xlfn.IFS(
  H487&lt;30,"Young Adult",
  H487&lt;50,"Adult",
  H487&gt;=50,"Senior"
)</f>
        <v>Adult</v>
      </c>
      <c r="J487" s="4" t="s">
        <v>23</v>
      </c>
      <c r="K487" s="4">
        <v>1</v>
      </c>
      <c r="L487" s="5">
        <v>25</v>
      </c>
      <c r="M487" s="5">
        <f xml:space="preserve"> K487*L487</f>
        <v>25</v>
      </c>
      <c r="N487" s="14">
        <f xml:space="preserve"> M487 * $Q$3</f>
        <v>0.375</v>
      </c>
      <c r="O487" s="5"/>
    </row>
    <row r="488" spans="1:15">
      <c r="A488" s="2">
        <v>487</v>
      </c>
      <c r="B488" s="4">
        <f>DAY(E488)</f>
        <v>24</v>
      </c>
      <c r="C488" s="4">
        <f>MONTH(E488)</f>
        <v>7</v>
      </c>
      <c r="D488" s="4">
        <f>YEAR(E488)</f>
        <v>2023</v>
      </c>
      <c r="E488" s="3">
        <v>45131</v>
      </c>
      <c r="F488" s="4" t="s">
        <v>510</v>
      </c>
      <c r="G488" s="4" t="s">
        <v>15</v>
      </c>
      <c r="H488" s="4">
        <v>44</v>
      </c>
      <c r="I488" s="4" t="str" cm="1">
        <f t="array" ref="I488">_xlfn.IFS(
  H488&lt;30,"Young Adult",
  H488&lt;50,"Adult",
  H488&gt;=50,"Senior"
)</f>
        <v>Adult</v>
      </c>
      <c r="J488" s="4" t="s">
        <v>20</v>
      </c>
      <c r="K488" s="4">
        <v>4</v>
      </c>
      <c r="L488" s="5">
        <v>500</v>
      </c>
      <c r="M488" s="5">
        <f xml:space="preserve"> K488*L488</f>
        <v>2000</v>
      </c>
      <c r="N488" s="14">
        <f xml:space="preserve"> M488 * $Q$3</f>
        <v>30</v>
      </c>
      <c r="O488" s="5"/>
    </row>
    <row r="489" spans="1:15">
      <c r="A489" s="2">
        <v>488</v>
      </c>
      <c r="B489" s="4">
        <f>DAY(E489)</f>
        <v>18</v>
      </c>
      <c r="C489" s="4">
        <f>MONTH(E489)</f>
        <v>6</v>
      </c>
      <c r="D489" s="4">
        <f>YEAR(E489)</f>
        <v>2023</v>
      </c>
      <c r="E489" s="3">
        <v>45095</v>
      </c>
      <c r="F489" s="4" t="s">
        <v>511</v>
      </c>
      <c r="G489" s="4" t="s">
        <v>19</v>
      </c>
      <c r="H489" s="4">
        <v>51</v>
      </c>
      <c r="I489" s="4" t="str" cm="1">
        <f t="array" ref="I489">_xlfn.IFS(
  H489&lt;30,"Young Adult",
  H489&lt;50,"Adult",
  H489&gt;=50,"Senior"
)</f>
        <v>Senior</v>
      </c>
      <c r="J489" s="4" t="s">
        <v>23</v>
      </c>
      <c r="K489" s="4">
        <v>3</v>
      </c>
      <c r="L489" s="5">
        <v>300</v>
      </c>
      <c r="M489" s="5">
        <f xml:space="preserve"> K489*L489</f>
        <v>900</v>
      </c>
      <c r="N489" s="14">
        <f xml:space="preserve"> M489 * $Q$3</f>
        <v>13.5</v>
      </c>
      <c r="O489" s="5"/>
    </row>
    <row r="490" spans="1:15">
      <c r="A490" s="2">
        <v>489</v>
      </c>
      <c r="B490" s="4">
        <f>DAY(E490)</f>
        <v>23</v>
      </c>
      <c r="C490" s="4">
        <f>MONTH(E490)</f>
        <v>5</v>
      </c>
      <c r="D490" s="4">
        <f>YEAR(E490)</f>
        <v>2023</v>
      </c>
      <c r="E490" s="17">
        <v>45069</v>
      </c>
      <c r="F490" s="4" t="s">
        <v>512</v>
      </c>
      <c r="G490" s="4" t="s">
        <v>15</v>
      </c>
      <c r="H490" s="4">
        <v>44</v>
      </c>
      <c r="I490" s="4" t="str" cm="1">
        <f t="array" ref="I490">_xlfn.IFS(
  H490&lt;30,"Young Adult",
  H490&lt;50,"Adult",
  H490&gt;=50,"Senior"
)</f>
        <v>Adult</v>
      </c>
      <c r="J490" s="4" t="s">
        <v>23</v>
      </c>
      <c r="K490" s="4">
        <v>1</v>
      </c>
      <c r="L490" s="5">
        <v>30</v>
      </c>
      <c r="M490" s="5">
        <f xml:space="preserve"> K490*L490</f>
        <v>30</v>
      </c>
      <c r="N490" s="14">
        <f xml:space="preserve"> M490 * $Q$3</f>
        <v>0.44999999999999996</v>
      </c>
      <c r="O490" s="5"/>
    </row>
    <row r="491" spans="1:15">
      <c r="A491" s="2">
        <v>490</v>
      </c>
      <c r="B491" s="4">
        <f>DAY(E491)</f>
        <v>5</v>
      </c>
      <c r="C491" s="4">
        <f>MONTH(E491)</f>
        <v>2</v>
      </c>
      <c r="D491" s="4">
        <f>YEAR(E491)</f>
        <v>2023</v>
      </c>
      <c r="E491" s="3">
        <v>44962</v>
      </c>
      <c r="F491" s="4" t="s">
        <v>513</v>
      </c>
      <c r="G491" s="4" t="s">
        <v>15</v>
      </c>
      <c r="H491" s="4">
        <v>34</v>
      </c>
      <c r="I491" s="4" t="str" cm="1">
        <f t="array" ref="I491">_xlfn.IFS(
  H491&lt;30,"Young Adult",
  H491&lt;50,"Adult",
  H491&gt;=50,"Senior"
)</f>
        <v>Adult</v>
      </c>
      <c r="J491" s="4" t="s">
        <v>20</v>
      </c>
      <c r="K491" s="4">
        <v>3</v>
      </c>
      <c r="L491" s="5">
        <v>50</v>
      </c>
      <c r="M491" s="5">
        <f xml:space="preserve"> K491*L491</f>
        <v>150</v>
      </c>
      <c r="N491" s="14">
        <f xml:space="preserve"> M491 * $Q$3</f>
        <v>2.25</v>
      </c>
      <c r="O491" s="5"/>
    </row>
    <row r="492" spans="1:15">
      <c r="A492" s="2">
        <v>491</v>
      </c>
      <c r="B492" s="4">
        <f>DAY(E492)</f>
        <v>23</v>
      </c>
      <c r="C492" s="4">
        <f>MONTH(E492)</f>
        <v>5</v>
      </c>
      <c r="D492" s="4">
        <f>YEAR(E492)</f>
        <v>2023</v>
      </c>
      <c r="E492" s="17">
        <v>45069</v>
      </c>
      <c r="F492" s="4" t="s">
        <v>514</v>
      </c>
      <c r="G492" s="4" t="s">
        <v>19</v>
      </c>
      <c r="H492" s="4">
        <v>60</v>
      </c>
      <c r="I492" s="4" t="str" cm="1">
        <f t="array" ref="I492">_xlfn.IFS(
  H492&lt;30,"Young Adult",
  H492&lt;50,"Adult",
  H492&gt;=50,"Senior"
)</f>
        <v>Senior</v>
      </c>
      <c r="J492" s="4" t="s">
        <v>23</v>
      </c>
      <c r="K492" s="4">
        <v>3</v>
      </c>
      <c r="L492" s="5">
        <v>300</v>
      </c>
      <c r="M492" s="5">
        <f xml:space="preserve"> K492*L492</f>
        <v>900</v>
      </c>
      <c r="N492" s="14">
        <f xml:space="preserve"> M492 * $Q$3</f>
        <v>13.5</v>
      </c>
      <c r="O492" s="5"/>
    </row>
    <row r="493" spans="1:15">
      <c r="A493" s="2">
        <v>492</v>
      </c>
      <c r="B493" s="4">
        <f>DAY(E493)</f>
        <v>29</v>
      </c>
      <c r="C493" s="4">
        <f>MONTH(E493)</f>
        <v>6</v>
      </c>
      <c r="D493" s="4">
        <f>YEAR(E493)</f>
        <v>2023</v>
      </c>
      <c r="E493" s="3">
        <v>45106</v>
      </c>
      <c r="F493" s="4" t="s">
        <v>515</v>
      </c>
      <c r="G493" s="4" t="s">
        <v>15</v>
      </c>
      <c r="H493" s="4">
        <v>61</v>
      </c>
      <c r="I493" s="4" t="str" cm="1">
        <f t="array" ref="I493">_xlfn.IFS(
  H493&lt;30,"Young Adult",
  H493&lt;50,"Adult",
  H493&gt;=50,"Senior"
)</f>
        <v>Senior</v>
      </c>
      <c r="J493" s="4" t="s">
        <v>16</v>
      </c>
      <c r="K493" s="4">
        <v>4</v>
      </c>
      <c r="L493" s="5">
        <v>25</v>
      </c>
      <c r="M493" s="5">
        <f xml:space="preserve"> K493*L493</f>
        <v>100</v>
      </c>
      <c r="N493" s="14">
        <f xml:space="preserve"> M493 * $Q$3</f>
        <v>1.5</v>
      </c>
      <c r="O493" s="5"/>
    </row>
    <row r="494" spans="1:15">
      <c r="A494" s="2">
        <v>493</v>
      </c>
      <c r="B494" s="4">
        <f>DAY(E494)</f>
        <v>25</v>
      </c>
      <c r="C494" s="4">
        <f>MONTH(E494)</f>
        <v>11</v>
      </c>
      <c r="D494" s="4">
        <f>YEAR(E494)</f>
        <v>2023</v>
      </c>
      <c r="E494" s="3">
        <v>45255</v>
      </c>
      <c r="F494" s="4" t="s">
        <v>516</v>
      </c>
      <c r="G494" s="4" t="s">
        <v>15</v>
      </c>
      <c r="H494" s="4">
        <v>41</v>
      </c>
      <c r="I494" s="4" t="str" cm="1">
        <f t="array" ref="I494">_xlfn.IFS(
  H494&lt;30,"Young Adult",
  H494&lt;50,"Adult",
  H494&gt;=50,"Senior"
)</f>
        <v>Adult</v>
      </c>
      <c r="J494" s="4" t="s">
        <v>16</v>
      </c>
      <c r="K494" s="4">
        <v>2</v>
      </c>
      <c r="L494" s="5">
        <v>25</v>
      </c>
      <c r="M494" s="5">
        <f xml:space="preserve"> K494*L494</f>
        <v>50</v>
      </c>
      <c r="N494" s="14">
        <f xml:space="preserve"> M494 * $Q$3</f>
        <v>0.75</v>
      </c>
      <c r="O494" s="5"/>
    </row>
    <row r="495" spans="1:15">
      <c r="A495" s="2">
        <v>494</v>
      </c>
      <c r="B495" s="4">
        <f>DAY(E495)</f>
        <v>18</v>
      </c>
      <c r="C495" s="4">
        <f>MONTH(E495)</f>
        <v>9</v>
      </c>
      <c r="D495" s="4">
        <f>YEAR(E495)</f>
        <v>2023</v>
      </c>
      <c r="E495" s="17">
        <v>45187</v>
      </c>
      <c r="F495" s="4" t="s">
        <v>517</v>
      </c>
      <c r="G495" s="4" t="s">
        <v>19</v>
      </c>
      <c r="H495" s="4">
        <v>42</v>
      </c>
      <c r="I495" s="4" t="str" cm="1">
        <f t="array" ref="I495">_xlfn.IFS(
  H495&lt;30,"Young Adult",
  H495&lt;50,"Adult",
  H495&gt;=50,"Senior"
)</f>
        <v>Adult</v>
      </c>
      <c r="J495" s="4" t="s">
        <v>16</v>
      </c>
      <c r="K495" s="4">
        <v>4</v>
      </c>
      <c r="L495" s="5">
        <v>50</v>
      </c>
      <c r="M495" s="5">
        <f xml:space="preserve"> K495*L495</f>
        <v>200</v>
      </c>
      <c r="N495" s="14">
        <f xml:space="preserve"> M495 * $Q$3</f>
        <v>3</v>
      </c>
      <c r="O495" s="5"/>
    </row>
    <row r="496" spans="1:15">
      <c r="A496" s="2">
        <v>495</v>
      </c>
      <c r="B496" s="4">
        <f>DAY(E496)</f>
        <v>24</v>
      </c>
      <c r="C496" s="4">
        <f>MONTH(E496)</f>
        <v>7</v>
      </c>
      <c r="D496" s="4">
        <f>YEAR(E496)</f>
        <v>2023</v>
      </c>
      <c r="E496" s="3">
        <v>45131</v>
      </c>
      <c r="F496" s="4" t="s">
        <v>518</v>
      </c>
      <c r="G496" s="4" t="s">
        <v>15</v>
      </c>
      <c r="H496" s="4">
        <v>24</v>
      </c>
      <c r="I496" s="4" t="str" cm="1">
        <f t="array" ref="I496">_xlfn.IFS(
  H496&lt;30,"Young Adult",
  H496&lt;50,"Adult",
  H496&gt;=50,"Senior"
)</f>
        <v>Young Adult</v>
      </c>
      <c r="J496" s="4" t="s">
        <v>16</v>
      </c>
      <c r="K496" s="4">
        <v>2</v>
      </c>
      <c r="L496" s="5">
        <v>30</v>
      </c>
      <c r="M496" s="5">
        <f xml:space="preserve"> K496*L496</f>
        <v>60</v>
      </c>
      <c r="N496" s="14">
        <f xml:space="preserve"> M496 * $Q$3</f>
        <v>0.89999999999999991</v>
      </c>
      <c r="O496" s="5"/>
    </row>
    <row r="497" spans="1:15">
      <c r="A497" s="2">
        <v>496</v>
      </c>
      <c r="B497" s="4">
        <f>DAY(E497)</f>
        <v>14</v>
      </c>
      <c r="C497" s="4">
        <f>MONTH(E497)</f>
        <v>12</v>
      </c>
      <c r="D497" s="4">
        <f>YEAR(E497)</f>
        <v>2023</v>
      </c>
      <c r="E497" s="3">
        <v>45274</v>
      </c>
      <c r="F497" s="4" t="s">
        <v>519</v>
      </c>
      <c r="G497" s="4" t="s">
        <v>15</v>
      </c>
      <c r="H497" s="4">
        <v>23</v>
      </c>
      <c r="I497" s="4" t="str" cm="1">
        <f t="array" ref="I497">_xlfn.IFS(
  H497&lt;30,"Young Adult",
  H497&lt;50,"Adult",
  H497&gt;=50,"Senior"
)</f>
        <v>Young Adult</v>
      </c>
      <c r="J497" s="4" t="s">
        <v>20</v>
      </c>
      <c r="K497" s="4">
        <v>2</v>
      </c>
      <c r="L497" s="5">
        <v>300</v>
      </c>
      <c r="M497" s="5">
        <f xml:space="preserve"> K497*L497</f>
        <v>600</v>
      </c>
      <c r="N497" s="14">
        <f xml:space="preserve"> M497 * $Q$3</f>
        <v>9</v>
      </c>
      <c r="O497" s="5"/>
    </row>
    <row r="498" spans="1:15">
      <c r="A498" s="2">
        <v>497</v>
      </c>
      <c r="B498" s="4">
        <f>DAY(E498)</f>
        <v>2</v>
      </c>
      <c r="C498" s="4">
        <f>MONTH(E498)</f>
        <v>10</v>
      </c>
      <c r="D498" s="4">
        <f>YEAR(E498)</f>
        <v>2023</v>
      </c>
      <c r="E498" s="3">
        <v>45201</v>
      </c>
      <c r="F498" s="4" t="s">
        <v>520</v>
      </c>
      <c r="G498" s="4" t="s">
        <v>15</v>
      </c>
      <c r="H498" s="4">
        <v>41</v>
      </c>
      <c r="I498" s="4" t="str" cm="1">
        <f t="array" ref="I498">_xlfn.IFS(
  H498&lt;30,"Young Adult",
  H498&lt;50,"Adult",
  H498&gt;=50,"Senior"
)</f>
        <v>Adult</v>
      </c>
      <c r="J498" s="4" t="s">
        <v>20</v>
      </c>
      <c r="K498" s="4">
        <v>4</v>
      </c>
      <c r="L498" s="5">
        <v>30</v>
      </c>
      <c r="M498" s="5">
        <f xml:space="preserve"> K498*L498</f>
        <v>120</v>
      </c>
      <c r="N498" s="14">
        <f xml:space="preserve"> M498 * $Q$3</f>
        <v>1.7999999999999998</v>
      </c>
      <c r="O498" s="5"/>
    </row>
    <row r="499" spans="1:15">
      <c r="A499" s="2">
        <v>498</v>
      </c>
      <c r="B499" s="4">
        <f>DAY(E499)</f>
        <v>19</v>
      </c>
      <c r="C499" s="4">
        <f>MONTH(E499)</f>
        <v>6</v>
      </c>
      <c r="D499" s="4">
        <f>YEAR(E499)</f>
        <v>2023</v>
      </c>
      <c r="E499" s="3">
        <v>45096</v>
      </c>
      <c r="F499" s="4" t="s">
        <v>521</v>
      </c>
      <c r="G499" s="4" t="s">
        <v>19</v>
      </c>
      <c r="H499" s="4">
        <v>50</v>
      </c>
      <c r="I499" s="4" t="str" cm="1">
        <f t="array" ref="I499">_xlfn.IFS(
  H499&lt;30,"Young Adult",
  H499&lt;50,"Adult",
  H499&gt;=50,"Senior"
)</f>
        <v>Senior</v>
      </c>
      <c r="J499" s="4" t="s">
        <v>20</v>
      </c>
      <c r="K499" s="4">
        <v>4</v>
      </c>
      <c r="L499" s="5">
        <v>25</v>
      </c>
      <c r="M499" s="5">
        <f xml:space="preserve"> K499*L499</f>
        <v>100</v>
      </c>
      <c r="N499" s="14">
        <f xml:space="preserve"> M499 * $Q$3</f>
        <v>1.5</v>
      </c>
      <c r="O499" s="5"/>
    </row>
    <row r="500" spans="1:15">
      <c r="A500" s="2">
        <v>499</v>
      </c>
      <c r="B500" s="4">
        <f>DAY(E500)</f>
        <v>15</v>
      </c>
      <c r="C500" s="4">
        <f>MONTH(E500)</f>
        <v>1</v>
      </c>
      <c r="D500" s="4">
        <f>YEAR(E500)</f>
        <v>2023</v>
      </c>
      <c r="E500" s="3">
        <v>44941</v>
      </c>
      <c r="F500" s="4" t="s">
        <v>522</v>
      </c>
      <c r="G500" s="4" t="s">
        <v>15</v>
      </c>
      <c r="H500" s="4">
        <v>46</v>
      </c>
      <c r="I500" s="4" t="str" cm="1">
        <f t="array" ref="I500">_xlfn.IFS(
  H500&lt;30,"Young Adult",
  H500&lt;50,"Adult",
  H500&gt;=50,"Senior"
)</f>
        <v>Adult</v>
      </c>
      <c r="J500" s="4" t="s">
        <v>16</v>
      </c>
      <c r="K500" s="4">
        <v>2</v>
      </c>
      <c r="L500" s="5">
        <v>30</v>
      </c>
      <c r="M500" s="5">
        <f xml:space="preserve"> K500*L500</f>
        <v>60</v>
      </c>
      <c r="N500" s="14">
        <f xml:space="preserve"> M500 * $Q$3</f>
        <v>0.89999999999999991</v>
      </c>
      <c r="O500" s="5"/>
    </row>
    <row r="501" spans="1:15">
      <c r="A501" s="2">
        <v>500</v>
      </c>
      <c r="B501" s="4">
        <f>DAY(E501)</f>
        <v>1</v>
      </c>
      <c r="C501" s="4">
        <f>MONTH(E501)</f>
        <v>3</v>
      </c>
      <c r="D501" s="4">
        <f>YEAR(E501)</f>
        <v>2023</v>
      </c>
      <c r="E501" s="17">
        <v>44986</v>
      </c>
      <c r="F501" s="4" t="s">
        <v>523</v>
      </c>
      <c r="G501" s="4" t="s">
        <v>19</v>
      </c>
      <c r="H501" s="4">
        <v>60</v>
      </c>
      <c r="I501" s="4" t="str" cm="1">
        <f t="array" ref="I501">_xlfn.IFS(
  H501&lt;30,"Young Adult",
  H501&lt;50,"Adult",
  H501&gt;=50,"Senior"
)</f>
        <v>Senior</v>
      </c>
      <c r="J501" s="4" t="s">
        <v>16</v>
      </c>
      <c r="K501" s="4">
        <v>4</v>
      </c>
      <c r="L501" s="5">
        <v>25</v>
      </c>
      <c r="M501" s="5">
        <f xml:space="preserve"> K501*L501</f>
        <v>100</v>
      </c>
      <c r="N501" s="14">
        <f xml:space="preserve"> M501 * $Q$3</f>
        <v>1.5</v>
      </c>
      <c r="O501" s="5"/>
    </row>
    <row r="502" spans="1:15">
      <c r="A502" s="2">
        <v>501</v>
      </c>
      <c r="B502" s="4">
        <f>DAY(E502)</f>
        <v>14</v>
      </c>
      <c r="C502" s="4">
        <f>MONTH(E502)</f>
        <v>5</v>
      </c>
      <c r="D502" s="4">
        <f>YEAR(E502)</f>
        <v>2023</v>
      </c>
      <c r="E502" s="17">
        <v>45060</v>
      </c>
      <c r="F502" s="4" t="s">
        <v>524</v>
      </c>
      <c r="G502" s="4" t="s">
        <v>15</v>
      </c>
      <c r="H502" s="4">
        <v>39</v>
      </c>
      <c r="I502" s="4" t="str" cm="1">
        <f t="array" ref="I502">_xlfn.IFS(
  H502&lt;30,"Young Adult",
  H502&lt;50,"Adult",
  H502&gt;=50,"Senior"
)</f>
        <v>Adult</v>
      </c>
      <c r="J502" s="4" t="s">
        <v>23</v>
      </c>
      <c r="K502" s="4">
        <v>2</v>
      </c>
      <c r="L502" s="5">
        <v>30</v>
      </c>
      <c r="M502" s="5">
        <f xml:space="preserve"> K502*L502</f>
        <v>60</v>
      </c>
      <c r="N502" s="14">
        <f xml:space="preserve"> M502 * $Q$3</f>
        <v>0.89999999999999991</v>
      </c>
      <c r="O502" s="5"/>
    </row>
    <row r="503" spans="1:15">
      <c r="A503" s="2">
        <v>502</v>
      </c>
      <c r="B503" s="4">
        <f>DAY(E503)</f>
        <v>2</v>
      </c>
      <c r="C503" s="4">
        <f>MONTH(E503)</f>
        <v>4</v>
      </c>
      <c r="D503" s="4">
        <f>YEAR(E503)</f>
        <v>2023</v>
      </c>
      <c r="E503" s="17">
        <v>45018</v>
      </c>
      <c r="F503" s="4" t="s">
        <v>525</v>
      </c>
      <c r="G503" s="4" t="s">
        <v>15</v>
      </c>
      <c r="H503" s="4">
        <v>43</v>
      </c>
      <c r="I503" s="4" t="str" cm="1">
        <f t="array" ref="I503">_xlfn.IFS(
  H503&lt;30,"Young Adult",
  H503&lt;50,"Adult",
  H503&gt;=50,"Senior"
)</f>
        <v>Adult</v>
      </c>
      <c r="J503" s="4" t="s">
        <v>23</v>
      </c>
      <c r="K503" s="4">
        <v>3</v>
      </c>
      <c r="L503" s="5">
        <v>50</v>
      </c>
      <c r="M503" s="5">
        <f xml:space="preserve"> K503*L503</f>
        <v>150</v>
      </c>
      <c r="N503" s="14">
        <f xml:space="preserve"> M503 * $Q$3</f>
        <v>2.25</v>
      </c>
      <c r="O503" s="5"/>
    </row>
    <row r="504" spans="1:15">
      <c r="A504" s="2">
        <v>503</v>
      </c>
      <c r="B504" s="4">
        <f>DAY(E504)</f>
        <v>25</v>
      </c>
      <c r="C504" s="4">
        <f>MONTH(E504)</f>
        <v>10</v>
      </c>
      <c r="D504" s="4">
        <f>YEAR(E504)</f>
        <v>2023</v>
      </c>
      <c r="E504" s="3">
        <v>45224</v>
      </c>
      <c r="F504" s="4" t="s">
        <v>526</v>
      </c>
      <c r="G504" s="4" t="s">
        <v>15</v>
      </c>
      <c r="H504" s="4">
        <v>45</v>
      </c>
      <c r="I504" s="4" t="str" cm="1">
        <f t="array" ref="I504">_xlfn.IFS(
  H504&lt;30,"Young Adult",
  H504&lt;50,"Adult",
  H504&gt;=50,"Senior"
)</f>
        <v>Adult</v>
      </c>
      <c r="J504" s="4" t="s">
        <v>16</v>
      </c>
      <c r="K504" s="4">
        <v>4</v>
      </c>
      <c r="L504" s="5">
        <v>500</v>
      </c>
      <c r="M504" s="5">
        <f xml:space="preserve"> K504*L504</f>
        <v>2000</v>
      </c>
      <c r="N504" s="14">
        <f xml:space="preserve"> M504 * $Q$3</f>
        <v>30</v>
      </c>
      <c r="O504" s="5"/>
    </row>
    <row r="505" spans="1:15">
      <c r="A505" s="2">
        <v>504</v>
      </c>
      <c r="B505" s="4">
        <f>DAY(E505)</f>
        <v>16</v>
      </c>
      <c r="C505" s="4">
        <f>MONTH(E505)</f>
        <v>5</v>
      </c>
      <c r="D505" s="4">
        <f>YEAR(E505)</f>
        <v>2023</v>
      </c>
      <c r="E505" s="17">
        <v>45062</v>
      </c>
      <c r="F505" s="4" t="s">
        <v>527</v>
      </c>
      <c r="G505" s="4" t="s">
        <v>19</v>
      </c>
      <c r="H505" s="4">
        <v>38</v>
      </c>
      <c r="I505" s="4" t="str" cm="1">
        <f t="array" ref="I505">_xlfn.IFS(
  H505&lt;30,"Young Adult",
  H505&lt;50,"Adult",
  H505&gt;=50,"Senior"
)</f>
        <v>Adult</v>
      </c>
      <c r="J505" s="4" t="s">
        <v>16</v>
      </c>
      <c r="K505" s="4">
        <v>3</v>
      </c>
      <c r="L505" s="5">
        <v>50</v>
      </c>
      <c r="M505" s="5">
        <f xml:space="preserve"> K505*L505</f>
        <v>150</v>
      </c>
      <c r="N505" s="14">
        <f xml:space="preserve"> M505 * $Q$3</f>
        <v>2.25</v>
      </c>
      <c r="O505" s="5"/>
    </row>
    <row r="506" spans="1:15">
      <c r="A506" s="2">
        <v>505</v>
      </c>
      <c r="B506" s="4">
        <f>DAY(E506)</f>
        <v>20</v>
      </c>
      <c r="C506" s="4">
        <f>MONTH(E506)</f>
        <v>1</v>
      </c>
      <c r="D506" s="4">
        <f>YEAR(E506)</f>
        <v>2023</v>
      </c>
      <c r="E506" s="3">
        <v>44946</v>
      </c>
      <c r="F506" s="4" t="s">
        <v>528</v>
      </c>
      <c r="G506" s="4" t="s">
        <v>15</v>
      </c>
      <c r="H506" s="4">
        <v>24</v>
      </c>
      <c r="I506" s="4" t="str" cm="1">
        <f t="array" ref="I506">_xlfn.IFS(
  H506&lt;30,"Young Adult",
  H506&lt;50,"Adult",
  H506&gt;=50,"Senior"
)</f>
        <v>Young Adult</v>
      </c>
      <c r="J506" s="4" t="s">
        <v>16</v>
      </c>
      <c r="K506" s="4">
        <v>1</v>
      </c>
      <c r="L506" s="5">
        <v>50</v>
      </c>
      <c r="M506" s="5">
        <f xml:space="preserve"> K506*L506</f>
        <v>50</v>
      </c>
      <c r="N506" s="14">
        <f xml:space="preserve"> M506 * $Q$3</f>
        <v>0.75</v>
      </c>
      <c r="O506" s="5"/>
    </row>
    <row r="507" spans="1:15">
      <c r="A507" s="2">
        <v>506</v>
      </c>
      <c r="B507" s="4">
        <f>DAY(E507)</f>
        <v>25</v>
      </c>
      <c r="C507" s="4">
        <f>MONTH(E507)</f>
        <v>2</v>
      </c>
      <c r="D507" s="4">
        <f>YEAR(E507)</f>
        <v>2023</v>
      </c>
      <c r="E507" s="3">
        <v>44982</v>
      </c>
      <c r="F507" s="4" t="s">
        <v>529</v>
      </c>
      <c r="G507" s="4" t="s">
        <v>15</v>
      </c>
      <c r="H507" s="4">
        <v>34</v>
      </c>
      <c r="I507" s="4" t="str" cm="1">
        <f t="array" ref="I507">_xlfn.IFS(
  H507&lt;30,"Young Adult",
  H507&lt;50,"Adult",
  H507&gt;=50,"Senior"
)</f>
        <v>Adult</v>
      </c>
      <c r="J507" s="4" t="s">
        <v>16</v>
      </c>
      <c r="K507" s="4">
        <v>3</v>
      </c>
      <c r="L507" s="5">
        <v>500</v>
      </c>
      <c r="M507" s="5">
        <f xml:space="preserve"> K507*L507</f>
        <v>1500</v>
      </c>
      <c r="N507" s="14">
        <f xml:space="preserve"> M507 * $Q$3</f>
        <v>22.5</v>
      </c>
      <c r="O507" s="5"/>
    </row>
    <row r="508" spans="1:15">
      <c r="A508" s="2">
        <v>507</v>
      </c>
      <c r="B508" s="4">
        <f>DAY(E508)</f>
        <v>2</v>
      </c>
      <c r="C508" s="4">
        <f>MONTH(E508)</f>
        <v>11</v>
      </c>
      <c r="D508" s="4">
        <f>YEAR(E508)</f>
        <v>2023</v>
      </c>
      <c r="E508" s="3">
        <v>45232</v>
      </c>
      <c r="F508" s="4" t="s">
        <v>530</v>
      </c>
      <c r="G508" s="4" t="s">
        <v>19</v>
      </c>
      <c r="H508" s="4">
        <v>37</v>
      </c>
      <c r="I508" s="4" t="str" cm="1">
        <f t="array" ref="I508">_xlfn.IFS(
  H508&lt;30,"Young Adult",
  H508&lt;50,"Adult",
  H508&gt;=50,"Senior"
)</f>
        <v>Adult</v>
      </c>
      <c r="J508" s="4" t="s">
        <v>23</v>
      </c>
      <c r="K508" s="4">
        <v>3</v>
      </c>
      <c r="L508" s="5">
        <v>500</v>
      </c>
      <c r="M508" s="5">
        <f xml:space="preserve"> K508*L508</f>
        <v>1500</v>
      </c>
      <c r="N508" s="14">
        <f xml:space="preserve"> M508 * $Q$3</f>
        <v>22.5</v>
      </c>
      <c r="O508" s="5"/>
    </row>
    <row r="509" spans="1:15">
      <c r="A509" s="2">
        <v>508</v>
      </c>
      <c r="B509" s="4">
        <f>DAY(E509)</f>
        <v>11</v>
      </c>
      <c r="C509" s="4">
        <f>MONTH(E509)</f>
        <v>8</v>
      </c>
      <c r="D509" s="4">
        <f>YEAR(E509)</f>
        <v>2023</v>
      </c>
      <c r="E509" s="3">
        <v>45149</v>
      </c>
      <c r="F509" s="4" t="s">
        <v>531</v>
      </c>
      <c r="G509" s="4" t="s">
        <v>15</v>
      </c>
      <c r="H509" s="4">
        <v>58</v>
      </c>
      <c r="I509" s="4" t="str" cm="1">
        <f t="array" ref="I509">_xlfn.IFS(
  H509&lt;30,"Young Adult",
  H509&lt;50,"Adult",
  H509&gt;=50,"Senior"
)</f>
        <v>Senior</v>
      </c>
      <c r="J509" s="4" t="s">
        <v>16</v>
      </c>
      <c r="K509" s="4">
        <v>2</v>
      </c>
      <c r="L509" s="5">
        <v>300</v>
      </c>
      <c r="M509" s="5">
        <f xml:space="preserve"> K509*L509</f>
        <v>600</v>
      </c>
      <c r="N509" s="14">
        <f xml:space="preserve"> M509 * $Q$3</f>
        <v>9</v>
      </c>
      <c r="O509" s="5"/>
    </row>
    <row r="510" spans="1:15">
      <c r="A510" s="2">
        <v>509</v>
      </c>
      <c r="B510" s="4">
        <f>DAY(E510)</f>
        <v>26</v>
      </c>
      <c r="C510" s="4">
        <f>MONTH(E510)</f>
        <v>6</v>
      </c>
      <c r="D510" s="4">
        <f>YEAR(E510)</f>
        <v>2023</v>
      </c>
      <c r="E510" s="3">
        <v>45103</v>
      </c>
      <c r="F510" s="4" t="s">
        <v>532</v>
      </c>
      <c r="G510" s="4" t="s">
        <v>19</v>
      </c>
      <c r="H510" s="4">
        <v>37</v>
      </c>
      <c r="I510" s="4" t="str" cm="1">
        <f t="array" ref="I510">_xlfn.IFS(
  H510&lt;30,"Young Adult",
  H510&lt;50,"Adult",
  H510&gt;=50,"Senior"
)</f>
        <v>Adult</v>
      </c>
      <c r="J510" s="4" t="s">
        <v>23</v>
      </c>
      <c r="K510" s="4">
        <v>3</v>
      </c>
      <c r="L510" s="5">
        <v>300</v>
      </c>
      <c r="M510" s="5">
        <f xml:space="preserve"> K510*L510</f>
        <v>900</v>
      </c>
      <c r="N510" s="14">
        <f xml:space="preserve"> M510 * $Q$3</f>
        <v>13.5</v>
      </c>
      <c r="O510" s="5"/>
    </row>
    <row r="511" spans="1:15">
      <c r="A511" s="2">
        <v>510</v>
      </c>
      <c r="B511" s="4">
        <f>DAY(E511)</f>
        <v>10</v>
      </c>
      <c r="C511" s="4">
        <f>MONTH(E511)</f>
        <v>6</v>
      </c>
      <c r="D511" s="4">
        <f>YEAR(E511)</f>
        <v>2023</v>
      </c>
      <c r="E511" s="3">
        <v>45087</v>
      </c>
      <c r="F511" s="4" t="s">
        <v>533</v>
      </c>
      <c r="G511" s="4" t="s">
        <v>19</v>
      </c>
      <c r="H511" s="4">
        <v>39</v>
      </c>
      <c r="I511" s="4" t="str" cm="1">
        <f t="array" ref="I511">_xlfn.IFS(
  H511&lt;30,"Young Adult",
  H511&lt;50,"Adult",
  H511&gt;=50,"Senior"
)</f>
        <v>Adult</v>
      </c>
      <c r="J511" s="4" t="s">
        <v>16</v>
      </c>
      <c r="K511" s="4">
        <v>4</v>
      </c>
      <c r="L511" s="5">
        <v>50</v>
      </c>
      <c r="M511" s="5">
        <f xml:space="preserve"> K511*L511</f>
        <v>200</v>
      </c>
      <c r="N511" s="14">
        <f xml:space="preserve"> M511 * $Q$3</f>
        <v>3</v>
      </c>
      <c r="O511" s="5"/>
    </row>
    <row r="512" spans="1:15">
      <c r="A512" s="2">
        <v>511</v>
      </c>
      <c r="B512" s="4">
        <f>DAY(E512)</f>
        <v>12</v>
      </c>
      <c r="C512" s="4">
        <f>MONTH(E512)</f>
        <v>8</v>
      </c>
      <c r="D512" s="4">
        <f>YEAR(E512)</f>
        <v>2023</v>
      </c>
      <c r="E512" s="3">
        <v>45150</v>
      </c>
      <c r="F512" s="4" t="s">
        <v>534</v>
      </c>
      <c r="G512" s="4" t="s">
        <v>15</v>
      </c>
      <c r="H512" s="4">
        <v>45</v>
      </c>
      <c r="I512" s="4" t="str" cm="1">
        <f t="array" ref="I512">_xlfn.IFS(
  H512&lt;30,"Young Adult",
  H512&lt;50,"Adult",
  H512&gt;=50,"Senior"
)</f>
        <v>Adult</v>
      </c>
      <c r="J512" s="4" t="s">
        <v>16</v>
      </c>
      <c r="K512" s="4">
        <v>2</v>
      </c>
      <c r="L512" s="5">
        <v>50</v>
      </c>
      <c r="M512" s="5">
        <f xml:space="preserve"> K512*L512</f>
        <v>100</v>
      </c>
      <c r="N512" s="14">
        <f xml:space="preserve"> M512 * $Q$3</f>
        <v>1.5</v>
      </c>
      <c r="O512" s="5"/>
    </row>
    <row r="513" spans="1:15">
      <c r="A513" s="2">
        <v>512</v>
      </c>
      <c r="B513" s="4">
        <f>DAY(E513)</f>
        <v>7</v>
      </c>
      <c r="C513" s="4">
        <f>MONTH(E513)</f>
        <v>11</v>
      </c>
      <c r="D513" s="4">
        <f>YEAR(E513)</f>
        <v>2023</v>
      </c>
      <c r="E513" s="3">
        <v>45237</v>
      </c>
      <c r="F513" s="4" t="s">
        <v>535</v>
      </c>
      <c r="G513" s="4" t="s">
        <v>19</v>
      </c>
      <c r="H513" s="4">
        <v>57</v>
      </c>
      <c r="I513" s="4" t="str" cm="1">
        <f t="array" ref="I513">_xlfn.IFS(
  H513&lt;30,"Young Adult",
  H513&lt;50,"Adult",
  H513&gt;=50,"Senior"
)</f>
        <v>Senior</v>
      </c>
      <c r="J513" s="4" t="s">
        <v>16</v>
      </c>
      <c r="K513" s="4">
        <v>1</v>
      </c>
      <c r="L513" s="5">
        <v>25</v>
      </c>
      <c r="M513" s="5">
        <f xml:space="preserve"> K513*L513</f>
        <v>25</v>
      </c>
      <c r="N513" s="14">
        <f xml:space="preserve"> M513 * $Q$3</f>
        <v>0.375</v>
      </c>
      <c r="O513" s="5"/>
    </row>
    <row r="514" spans="1:15">
      <c r="A514" s="2">
        <v>513</v>
      </c>
      <c r="B514" s="4">
        <f>DAY(E514)</f>
        <v>19</v>
      </c>
      <c r="C514" s="4">
        <f>MONTH(E514)</f>
        <v>9</v>
      </c>
      <c r="D514" s="4">
        <f>YEAR(E514)</f>
        <v>2023</v>
      </c>
      <c r="E514" s="3">
        <v>45188</v>
      </c>
      <c r="F514" s="4" t="s">
        <v>536</v>
      </c>
      <c r="G514" s="4" t="s">
        <v>15</v>
      </c>
      <c r="H514" s="4">
        <v>24</v>
      </c>
      <c r="I514" s="4" t="str" cm="1">
        <f t="array" ref="I514">_xlfn.IFS(
  H514&lt;30,"Young Adult",
  H514&lt;50,"Adult",
  H514&gt;=50,"Senior"
)</f>
        <v>Young Adult</v>
      </c>
      <c r="J514" s="4" t="s">
        <v>23</v>
      </c>
      <c r="K514" s="4">
        <v>4</v>
      </c>
      <c r="L514" s="5">
        <v>25</v>
      </c>
      <c r="M514" s="5">
        <f xml:space="preserve"> K514*L514</f>
        <v>100</v>
      </c>
      <c r="N514" s="14">
        <f xml:space="preserve"> M514 * $Q$3</f>
        <v>1.5</v>
      </c>
      <c r="O514" s="5"/>
    </row>
    <row r="515" spans="1:15">
      <c r="A515" s="2">
        <v>514</v>
      </c>
      <c r="B515" s="4">
        <f>DAY(E515)</f>
        <v>1</v>
      </c>
      <c r="C515" s="4">
        <f>MONTH(E515)</f>
        <v>3</v>
      </c>
      <c r="D515" s="4">
        <f>YEAR(E515)</f>
        <v>2023</v>
      </c>
      <c r="E515" s="17">
        <v>44986</v>
      </c>
      <c r="F515" s="4" t="s">
        <v>537</v>
      </c>
      <c r="G515" s="4" t="s">
        <v>19</v>
      </c>
      <c r="H515" s="4">
        <v>18</v>
      </c>
      <c r="I515" s="4" t="str" cm="1">
        <f t="array" ref="I515">_xlfn.IFS(
  H515&lt;30,"Young Adult",
  H515&lt;50,"Adult",
  H515&gt;=50,"Senior"
)</f>
        <v>Young Adult</v>
      </c>
      <c r="J515" s="4" t="s">
        <v>23</v>
      </c>
      <c r="K515" s="4">
        <v>1</v>
      </c>
      <c r="L515" s="5">
        <v>300</v>
      </c>
      <c r="M515" s="5">
        <f xml:space="preserve"> K515*L515</f>
        <v>300</v>
      </c>
      <c r="N515" s="14">
        <f xml:space="preserve"> M515 * $Q$3</f>
        <v>4.5</v>
      </c>
      <c r="O515" s="5"/>
    </row>
    <row r="516" spans="1:15">
      <c r="A516" s="2">
        <v>515</v>
      </c>
      <c r="B516" s="4">
        <f>DAY(E516)</f>
        <v>17</v>
      </c>
      <c r="C516" s="4">
        <f>MONTH(E516)</f>
        <v>7</v>
      </c>
      <c r="D516" s="4">
        <f>YEAR(E516)</f>
        <v>2023</v>
      </c>
      <c r="E516" s="3">
        <v>45124</v>
      </c>
      <c r="F516" s="4" t="s">
        <v>538</v>
      </c>
      <c r="G516" s="4" t="s">
        <v>19</v>
      </c>
      <c r="H516" s="4">
        <v>49</v>
      </c>
      <c r="I516" s="4" t="str" cm="1">
        <f t="array" ref="I516">_xlfn.IFS(
  H516&lt;30,"Young Adult",
  H516&lt;50,"Adult",
  H516&gt;=50,"Senior"
)</f>
        <v>Adult</v>
      </c>
      <c r="J516" s="4" t="s">
        <v>20</v>
      </c>
      <c r="K516" s="4">
        <v>3</v>
      </c>
      <c r="L516" s="5">
        <v>300</v>
      </c>
      <c r="M516" s="5">
        <f xml:space="preserve"> K516*L516</f>
        <v>900</v>
      </c>
      <c r="N516" s="14">
        <f xml:space="preserve"> M516 * $Q$3</f>
        <v>13.5</v>
      </c>
      <c r="O516" s="5"/>
    </row>
    <row r="517" spans="1:15">
      <c r="A517" s="2">
        <v>516</v>
      </c>
      <c r="B517" s="4">
        <f>DAY(E517)</f>
        <v>23</v>
      </c>
      <c r="C517" s="4">
        <f>MONTH(E517)</f>
        <v>10</v>
      </c>
      <c r="D517" s="4">
        <f>YEAR(E517)</f>
        <v>2023</v>
      </c>
      <c r="E517" s="3">
        <v>45222</v>
      </c>
      <c r="F517" s="4" t="s">
        <v>539</v>
      </c>
      <c r="G517" s="4" t="s">
        <v>15</v>
      </c>
      <c r="H517" s="4">
        <v>30</v>
      </c>
      <c r="I517" s="4" t="str" cm="1">
        <f t="array" ref="I517">_xlfn.IFS(
  H517&lt;30,"Young Adult",
  H517&lt;50,"Adult",
  H517&gt;=50,"Senior"
)</f>
        <v>Adult</v>
      </c>
      <c r="J517" s="4" t="s">
        <v>16</v>
      </c>
      <c r="K517" s="4">
        <v>4</v>
      </c>
      <c r="L517" s="5">
        <v>25</v>
      </c>
      <c r="M517" s="5">
        <f xml:space="preserve"> K517*L517</f>
        <v>100</v>
      </c>
      <c r="N517" s="14">
        <f xml:space="preserve"> M517 * $Q$3</f>
        <v>1.5</v>
      </c>
      <c r="O517" s="5"/>
    </row>
    <row r="518" spans="1:15">
      <c r="A518" s="2">
        <v>517</v>
      </c>
      <c r="B518" s="4">
        <f>DAY(E518)</f>
        <v>8</v>
      </c>
      <c r="C518" s="4">
        <f>MONTH(E518)</f>
        <v>4</v>
      </c>
      <c r="D518" s="4">
        <f>YEAR(E518)</f>
        <v>2023</v>
      </c>
      <c r="E518" s="17">
        <v>45024</v>
      </c>
      <c r="F518" s="4" t="s">
        <v>540</v>
      </c>
      <c r="G518" s="4" t="s">
        <v>19</v>
      </c>
      <c r="H518" s="4">
        <v>47</v>
      </c>
      <c r="I518" s="4" t="str" cm="1">
        <f t="array" ref="I518">_xlfn.IFS(
  H518&lt;30,"Young Adult",
  H518&lt;50,"Adult",
  H518&gt;=50,"Senior"
)</f>
        <v>Adult</v>
      </c>
      <c r="J518" s="4" t="s">
        <v>20</v>
      </c>
      <c r="K518" s="4">
        <v>4</v>
      </c>
      <c r="L518" s="5">
        <v>25</v>
      </c>
      <c r="M518" s="5">
        <f xml:space="preserve"> K518*L518</f>
        <v>100</v>
      </c>
      <c r="N518" s="14">
        <f xml:space="preserve"> M518 * $Q$3</f>
        <v>1.5</v>
      </c>
      <c r="O518" s="5"/>
    </row>
    <row r="519" spans="1:15">
      <c r="A519" s="2">
        <v>518</v>
      </c>
      <c r="B519" s="4">
        <f>DAY(E519)</f>
        <v>11</v>
      </c>
      <c r="C519" s="4">
        <f>MONTH(E519)</f>
        <v>5</v>
      </c>
      <c r="D519" s="4">
        <f>YEAR(E519)</f>
        <v>2023</v>
      </c>
      <c r="E519" s="17">
        <v>45057</v>
      </c>
      <c r="F519" s="4" t="s">
        <v>541</v>
      </c>
      <c r="G519" s="4" t="s">
        <v>19</v>
      </c>
      <c r="H519" s="4">
        <v>40</v>
      </c>
      <c r="I519" s="4" t="str" cm="1">
        <f t="array" ref="I519">_xlfn.IFS(
  H519&lt;30,"Young Adult",
  H519&lt;50,"Adult",
  H519&gt;=50,"Senior"
)</f>
        <v>Adult</v>
      </c>
      <c r="J519" s="4" t="s">
        <v>20</v>
      </c>
      <c r="K519" s="4">
        <v>1</v>
      </c>
      <c r="L519" s="5">
        <v>30</v>
      </c>
      <c r="M519" s="5">
        <f xml:space="preserve"> K519*L519</f>
        <v>30</v>
      </c>
      <c r="N519" s="14">
        <f xml:space="preserve"> M519 * $Q$3</f>
        <v>0.44999999999999996</v>
      </c>
      <c r="O519" s="5"/>
    </row>
    <row r="520" spans="1:15">
      <c r="A520" s="2">
        <v>519</v>
      </c>
      <c r="B520" s="4">
        <f>DAY(E520)</f>
        <v>23</v>
      </c>
      <c r="C520" s="4">
        <f>MONTH(E520)</f>
        <v>1</v>
      </c>
      <c r="D520" s="4">
        <f>YEAR(E520)</f>
        <v>2023</v>
      </c>
      <c r="E520" s="3">
        <v>44949</v>
      </c>
      <c r="F520" s="4" t="s">
        <v>542</v>
      </c>
      <c r="G520" s="4" t="s">
        <v>19</v>
      </c>
      <c r="H520" s="4">
        <v>36</v>
      </c>
      <c r="I520" s="4" t="str" cm="1">
        <f t="array" ref="I520">_xlfn.IFS(
  H520&lt;30,"Young Adult",
  H520&lt;50,"Adult",
  H520&gt;=50,"Senior"
)</f>
        <v>Adult</v>
      </c>
      <c r="J520" s="4" t="s">
        <v>23</v>
      </c>
      <c r="K520" s="4">
        <v>4</v>
      </c>
      <c r="L520" s="5">
        <v>30</v>
      </c>
      <c r="M520" s="5">
        <f xml:space="preserve"> K520*L520</f>
        <v>120</v>
      </c>
      <c r="N520" s="14">
        <f xml:space="preserve"> M520 * $Q$3</f>
        <v>1.7999999999999998</v>
      </c>
      <c r="O520" s="5"/>
    </row>
    <row r="521" spans="1:15">
      <c r="A521" s="2">
        <v>520</v>
      </c>
      <c r="B521" s="4">
        <f>DAY(E521)</f>
        <v>29</v>
      </c>
      <c r="C521" s="4">
        <f>MONTH(E521)</f>
        <v>12</v>
      </c>
      <c r="D521" s="4">
        <f>YEAR(E521)</f>
        <v>2023</v>
      </c>
      <c r="E521" s="3">
        <v>45289</v>
      </c>
      <c r="F521" s="4" t="s">
        <v>543</v>
      </c>
      <c r="G521" s="4" t="s">
        <v>19</v>
      </c>
      <c r="H521" s="4">
        <v>49</v>
      </c>
      <c r="I521" s="4" t="str" cm="1">
        <f t="array" ref="I521">_xlfn.IFS(
  H521&lt;30,"Young Adult",
  H521&lt;50,"Adult",
  H521&gt;=50,"Senior"
)</f>
        <v>Adult</v>
      </c>
      <c r="J521" s="4" t="s">
        <v>23</v>
      </c>
      <c r="K521" s="4">
        <v>4</v>
      </c>
      <c r="L521" s="5">
        <v>25</v>
      </c>
      <c r="M521" s="5">
        <f xml:space="preserve"> K521*L521</f>
        <v>100</v>
      </c>
      <c r="N521" s="14">
        <f xml:space="preserve"> M521 * $Q$3</f>
        <v>1.5</v>
      </c>
      <c r="O521" s="5"/>
    </row>
    <row r="522" spans="1:15">
      <c r="A522" s="2">
        <v>521</v>
      </c>
      <c r="B522" s="4">
        <f>DAY(E522)</f>
        <v>12</v>
      </c>
      <c r="C522" s="4">
        <f>MONTH(E522)</f>
        <v>8</v>
      </c>
      <c r="D522" s="4">
        <f>YEAR(E522)</f>
        <v>2023</v>
      </c>
      <c r="E522" s="3">
        <v>45150</v>
      </c>
      <c r="F522" s="4" t="s">
        <v>544</v>
      </c>
      <c r="G522" s="4" t="s">
        <v>19</v>
      </c>
      <c r="H522" s="4">
        <v>47</v>
      </c>
      <c r="I522" s="4" t="str" cm="1">
        <f t="array" ref="I522">_xlfn.IFS(
  H522&lt;30,"Young Adult",
  H522&lt;50,"Adult",
  H522&gt;=50,"Senior"
)</f>
        <v>Adult</v>
      </c>
      <c r="J522" s="4" t="s">
        <v>20</v>
      </c>
      <c r="K522" s="4">
        <v>4</v>
      </c>
      <c r="L522" s="5">
        <v>30</v>
      </c>
      <c r="M522" s="5">
        <f xml:space="preserve"> K522*L522</f>
        <v>120</v>
      </c>
      <c r="N522" s="14">
        <f xml:space="preserve"> M522 * $Q$3</f>
        <v>1.7999999999999998</v>
      </c>
      <c r="O522" s="5"/>
    </row>
    <row r="523" spans="1:15">
      <c r="A523" s="2">
        <v>522</v>
      </c>
      <c r="B523" s="4">
        <f>DAY(E523)</f>
        <v>1</v>
      </c>
      <c r="C523" s="4">
        <f>MONTH(E523)</f>
        <v>1</v>
      </c>
      <c r="D523" s="4">
        <f>YEAR(E523)</f>
        <v>2023</v>
      </c>
      <c r="E523" s="3">
        <v>44927</v>
      </c>
      <c r="F523" s="4" t="s">
        <v>545</v>
      </c>
      <c r="G523" s="4" t="s">
        <v>15</v>
      </c>
      <c r="H523" s="4">
        <v>46</v>
      </c>
      <c r="I523" s="4" t="str" cm="1">
        <f t="array" ref="I523">_xlfn.IFS(
  H523&lt;30,"Young Adult",
  H523&lt;50,"Adult",
  H523&gt;=50,"Senior"
)</f>
        <v>Adult</v>
      </c>
      <c r="J523" s="4" t="s">
        <v>16</v>
      </c>
      <c r="K523" s="4">
        <v>3</v>
      </c>
      <c r="L523" s="5">
        <v>500</v>
      </c>
      <c r="M523" s="5">
        <f xml:space="preserve"> K523*L523</f>
        <v>1500</v>
      </c>
      <c r="N523" s="14">
        <f xml:space="preserve"> M523 * $Q$3</f>
        <v>22.5</v>
      </c>
      <c r="O523" s="5"/>
    </row>
    <row r="524" spans="1:15">
      <c r="A524" s="2">
        <v>523</v>
      </c>
      <c r="B524" s="4">
        <f>DAY(E524)</f>
        <v>24</v>
      </c>
      <c r="C524" s="4">
        <f>MONTH(E524)</f>
        <v>9</v>
      </c>
      <c r="D524" s="4">
        <f>YEAR(E524)</f>
        <v>2023</v>
      </c>
      <c r="E524" s="3">
        <v>45193</v>
      </c>
      <c r="F524" s="4" t="s">
        <v>546</v>
      </c>
      <c r="G524" s="4" t="s">
        <v>19</v>
      </c>
      <c r="H524" s="4">
        <v>62</v>
      </c>
      <c r="I524" s="4" t="str" cm="1">
        <f t="array" ref="I524">_xlfn.IFS(
  H524&lt;30,"Young Adult",
  H524&lt;50,"Adult",
  H524&gt;=50,"Senior"
)</f>
        <v>Senior</v>
      </c>
      <c r="J524" s="4" t="s">
        <v>23</v>
      </c>
      <c r="K524" s="4">
        <v>1</v>
      </c>
      <c r="L524" s="5">
        <v>300</v>
      </c>
      <c r="M524" s="5">
        <f xml:space="preserve"> K524*L524</f>
        <v>300</v>
      </c>
      <c r="N524" s="14">
        <f xml:space="preserve"> M524 * $Q$3</f>
        <v>4.5</v>
      </c>
      <c r="O524" s="5"/>
    </row>
    <row r="525" spans="1:15">
      <c r="A525" s="2">
        <v>524</v>
      </c>
      <c r="B525" s="4">
        <f>DAY(E525)</f>
        <v>3</v>
      </c>
      <c r="C525" s="4">
        <f>MONTH(E525)</f>
        <v>10</v>
      </c>
      <c r="D525" s="4">
        <f>YEAR(E525)</f>
        <v>2023</v>
      </c>
      <c r="E525" s="3">
        <v>45202</v>
      </c>
      <c r="F525" s="4" t="s">
        <v>547</v>
      </c>
      <c r="G525" s="4" t="s">
        <v>15</v>
      </c>
      <c r="H525" s="4">
        <v>46</v>
      </c>
      <c r="I525" s="4" t="str" cm="1">
        <f t="array" ref="I525">_xlfn.IFS(
  H525&lt;30,"Young Adult",
  H525&lt;50,"Adult",
  H525&gt;=50,"Senior"
)</f>
        <v>Adult</v>
      </c>
      <c r="J525" s="4" t="s">
        <v>16</v>
      </c>
      <c r="K525" s="4">
        <v>4</v>
      </c>
      <c r="L525" s="5">
        <v>300</v>
      </c>
      <c r="M525" s="5">
        <f xml:space="preserve"> K525*L525</f>
        <v>1200</v>
      </c>
      <c r="N525" s="14">
        <f xml:space="preserve"> M525 * $Q$3</f>
        <v>18</v>
      </c>
      <c r="O525" s="5"/>
    </row>
    <row r="526" spans="1:15">
      <c r="A526" s="2">
        <v>525</v>
      </c>
      <c r="B526" s="4">
        <f>DAY(E526)</f>
        <v>18</v>
      </c>
      <c r="C526" s="4">
        <f>MONTH(E526)</f>
        <v>12</v>
      </c>
      <c r="D526" s="4">
        <f>YEAR(E526)</f>
        <v>2023</v>
      </c>
      <c r="E526" s="3">
        <v>45278</v>
      </c>
      <c r="F526" s="4" t="s">
        <v>548</v>
      </c>
      <c r="G526" s="4" t="s">
        <v>19</v>
      </c>
      <c r="H526" s="4">
        <v>47</v>
      </c>
      <c r="I526" s="4" t="str" cm="1">
        <f t="array" ref="I526">_xlfn.IFS(
  H526&lt;30,"Young Adult",
  H526&lt;50,"Adult",
  H526&gt;=50,"Senior"
)</f>
        <v>Adult</v>
      </c>
      <c r="J526" s="4" t="s">
        <v>16</v>
      </c>
      <c r="K526" s="4">
        <v>2</v>
      </c>
      <c r="L526" s="5">
        <v>25</v>
      </c>
      <c r="M526" s="5">
        <f xml:space="preserve"> K526*L526</f>
        <v>50</v>
      </c>
      <c r="N526" s="14">
        <f xml:space="preserve"> M526 * $Q$3</f>
        <v>0.75</v>
      </c>
      <c r="O526" s="5"/>
    </row>
    <row r="527" spans="1:15">
      <c r="A527" s="2">
        <v>526</v>
      </c>
      <c r="B527" s="4">
        <f>DAY(E527)</f>
        <v>10</v>
      </c>
      <c r="C527" s="4">
        <f>MONTH(E527)</f>
        <v>12</v>
      </c>
      <c r="D527" s="4">
        <f>YEAR(E527)</f>
        <v>2023</v>
      </c>
      <c r="E527" s="3">
        <v>45270</v>
      </c>
      <c r="F527" s="4" t="s">
        <v>549</v>
      </c>
      <c r="G527" s="4" t="s">
        <v>15</v>
      </c>
      <c r="H527" s="4">
        <v>33</v>
      </c>
      <c r="I527" s="4" t="str" cm="1">
        <f t="array" ref="I527">_xlfn.IFS(
  H527&lt;30,"Young Adult",
  H527&lt;50,"Adult",
  H527&gt;=50,"Senior"
)</f>
        <v>Adult</v>
      </c>
      <c r="J527" s="4" t="s">
        <v>20</v>
      </c>
      <c r="K527" s="4">
        <v>2</v>
      </c>
      <c r="L527" s="5">
        <v>50</v>
      </c>
      <c r="M527" s="5">
        <f xml:space="preserve"> K527*L527</f>
        <v>100</v>
      </c>
      <c r="N527" s="14">
        <f xml:space="preserve"> M527 * $Q$3</f>
        <v>1.5</v>
      </c>
      <c r="O527" s="5"/>
    </row>
    <row r="528" spans="1:15">
      <c r="A528" s="2">
        <v>527</v>
      </c>
      <c r="B528" s="4">
        <f>DAY(E528)</f>
        <v>11</v>
      </c>
      <c r="C528" s="4">
        <f>MONTH(E528)</f>
        <v>4</v>
      </c>
      <c r="D528" s="4">
        <f>YEAR(E528)</f>
        <v>2023</v>
      </c>
      <c r="E528" s="17">
        <v>45027</v>
      </c>
      <c r="F528" s="4" t="s">
        <v>550</v>
      </c>
      <c r="G528" s="4" t="s">
        <v>15</v>
      </c>
      <c r="H528" s="4">
        <v>57</v>
      </c>
      <c r="I528" s="4" t="str" cm="1">
        <f t="array" ref="I528">_xlfn.IFS(
  H528&lt;30,"Young Adult",
  H528&lt;50,"Adult",
  H528&gt;=50,"Senior"
)</f>
        <v>Senior</v>
      </c>
      <c r="J528" s="4" t="s">
        <v>20</v>
      </c>
      <c r="K528" s="4">
        <v>2</v>
      </c>
      <c r="L528" s="5">
        <v>25</v>
      </c>
      <c r="M528" s="5">
        <f xml:space="preserve"> K528*L528</f>
        <v>50</v>
      </c>
      <c r="N528" s="14">
        <f xml:space="preserve"> M528 * $Q$3</f>
        <v>0.75</v>
      </c>
      <c r="O528" s="5"/>
    </row>
    <row r="529" spans="1:15">
      <c r="A529" s="2">
        <v>528</v>
      </c>
      <c r="B529" s="4">
        <f>DAY(E529)</f>
        <v>6</v>
      </c>
      <c r="C529" s="4">
        <f>MONTH(E529)</f>
        <v>7</v>
      </c>
      <c r="D529" s="4">
        <f>YEAR(E529)</f>
        <v>2023</v>
      </c>
      <c r="E529" s="3">
        <v>45113</v>
      </c>
      <c r="F529" s="4" t="s">
        <v>551</v>
      </c>
      <c r="G529" s="4" t="s">
        <v>19</v>
      </c>
      <c r="H529" s="4">
        <v>36</v>
      </c>
      <c r="I529" s="4" t="str" cm="1">
        <f t="array" ref="I529">_xlfn.IFS(
  H529&lt;30,"Young Adult",
  H529&lt;50,"Adult",
  H529&gt;=50,"Senior"
)</f>
        <v>Adult</v>
      </c>
      <c r="J529" s="4" t="s">
        <v>20</v>
      </c>
      <c r="K529" s="4">
        <v>2</v>
      </c>
      <c r="L529" s="5">
        <v>30</v>
      </c>
      <c r="M529" s="5">
        <f xml:space="preserve"> K529*L529</f>
        <v>60</v>
      </c>
      <c r="N529" s="14">
        <f xml:space="preserve"> M529 * $Q$3</f>
        <v>0.89999999999999991</v>
      </c>
      <c r="O529" s="5"/>
    </row>
    <row r="530" spans="1:15">
      <c r="A530" s="2">
        <v>529</v>
      </c>
      <c r="B530" s="4">
        <f>DAY(E530)</f>
        <v>9</v>
      </c>
      <c r="C530" s="4">
        <f>MONTH(E530)</f>
        <v>8</v>
      </c>
      <c r="D530" s="4">
        <f>YEAR(E530)</f>
        <v>2023</v>
      </c>
      <c r="E530" s="3">
        <v>45147</v>
      </c>
      <c r="F530" s="4" t="s">
        <v>552</v>
      </c>
      <c r="G530" s="4" t="s">
        <v>19</v>
      </c>
      <c r="H530" s="4">
        <v>35</v>
      </c>
      <c r="I530" s="4" t="str" cm="1">
        <f t="array" ref="I530">_xlfn.IFS(
  H530&lt;30,"Young Adult",
  H530&lt;50,"Adult",
  H530&gt;=50,"Senior"
)</f>
        <v>Adult</v>
      </c>
      <c r="J530" s="4" t="s">
        <v>20</v>
      </c>
      <c r="K530" s="4">
        <v>3</v>
      </c>
      <c r="L530" s="5">
        <v>50</v>
      </c>
      <c r="M530" s="5">
        <f xml:space="preserve"> K530*L530</f>
        <v>150</v>
      </c>
      <c r="N530" s="14">
        <f xml:space="preserve"> M530 * $Q$3</f>
        <v>2.25</v>
      </c>
      <c r="O530" s="5"/>
    </row>
    <row r="531" spans="1:15">
      <c r="A531" s="2">
        <v>530</v>
      </c>
      <c r="B531" s="4">
        <f>DAY(E531)</f>
        <v>5</v>
      </c>
      <c r="C531" s="4">
        <f>MONTH(E531)</f>
        <v>2</v>
      </c>
      <c r="D531" s="4">
        <f>YEAR(E531)</f>
        <v>2023</v>
      </c>
      <c r="E531" s="3">
        <v>44962</v>
      </c>
      <c r="F531" s="4" t="s">
        <v>553</v>
      </c>
      <c r="G531" s="4" t="s">
        <v>19</v>
      </c>
      <c r="H531" s="4">
        <v>18</v>
      </c>
      <c r="I531" s="4" t="str" cm="1">
        <f t="array" ref="I531">_xlfn.IFS(
  H531&lt;30,"Young Adult",
  H531&lt;50,"Adult",
  H531&gt;=50,"Senior"
)</f>
        <v>Young Adult</v>
      </c>
      <c r="J531" s="4" t="s">
        <v>23</v>
      </c>
      <c r="K531" s="4">
        <v>4</v>
      </c>
      <c r="L531" s="5">
        <v>30</v>
      </c>
      <c r="M531" s="5">
        <f xml:space="preserve"> K531*L531</f>
        <v>120</v>
      </c>
      <c r="N531" s="14">
        <f xml:space="preserve"> M531 * $Q$3</f>
        <v>1.7999999999999998</v>
      </c>
      <c r="O531" s="5"/>
    </row>
    <row r="532" spans="1:15">
      <c r="A532" s="2">
        <v>531</v>
      </c>
      <c r="B532" s="4">
        <f>DAY(E532)</f>
        <v>7</v>
      </c>
      <c r="C532" s="4">
        <f>MONTH(E532)</f>
        <v>12</v>
      </c>
      <c r="D532" s="4">
        <f>YEAR(E532)</f>
        <v>2023</v>
      </c>
      <c r="E532" s="3">
        <v>45267</v>
      </c>
      <c r="F532" s="4" t="s">
        <v>554</v>
      </c>
      <c r="G532" s="4" t="s">
        <v>15</v>
      </c>
      <c r="H532" s="4">
        <v>31</v>
      </c>
      <c r="I532" s="4" t="str" cm="1">
        <f t="array" ref="I532">_xlfn.IFS(
  H532&lt;30,"Young Adult",
  H532&lt;50,"Adult",
  H532&gt;=50,"Senior"
)</f>
        <v>Adult</v>
      </c>
      <c r="J532" s="4" t="s">
        <v>23</v>
      </c>
      <c r="K532" s="4">
        <v>1</v>
      </c>
      <c r="L532" s="5">
        <v>500</v>
      </c>
      <c r="M532" s="5">
        <f xml:space="preserve"> K532*L532</f>
        <v>500</v>
      </c>
      <c r="N532" s="14">
        <f xml:space="preserve"> M532 * $Q$3</f>
        <v>7.5</v>
      </c>
      <c r="O532" s="5"/>
    </row>
    <row r="533" spans="1:15">
      <c r="A533" s="2">
        <v>532</v>
      </c>
      <c r="B533" s="4">
        <f>DAY(E533)</f>
        <v>19</v>
      </c>
      <c r="C533" s="4">
        <f>MONTH(E533)</f>
        <v>6</v>
      </c>
      <c r="D533" s="4">
        <f>YEAR(E533)</f>
        <v>2023</v>
      </c>
      <c r="E533" s="3">
        <v>45096</v>
      </c>
      <c r="F533" s="4" t="s">
        <v>555</v>
      </c>
      <c r="G533" s="4" t="s">
        <v>19</v>
      </c>
      <c r="H533" s="4">
        <v>64</v>
      </c>
      <c r="I533" s="4" t="str" cm="1">
        <f t="array" ref="I533">_xlfn.IFS(
  H533&lt;30,"Young Adult",
  H533&lt;50,"Adult",
  H533&gt;=50,"Senior"
)</f>
        <v>Senior</v>
      </c>
      <c r="J533" s="4" t="s">
        <v>20</v>
      </c>
      <c r="K533" s="4">
        <v>4</v>
      </c>
      <c r="L533" s="5">
        <v>30</v>
      </c>
      <c r="M533" s="5">
        <f xml:space="preserve"> K533*L533</f>
        <v>120</v>
      </c>
      <c r="N533" s="14">
        <f xml:space="preserve"> M533 * $Q$3</f>
        <v>1.7999999999999998</v>
      </c>
      <c r="O533" s="5"/>
    </row>
    <row r="534" spans="1:15">
      <c r="A534" s="2">
        <v>533</v>
      </c>
      <c r="B534" s="4">
        <f>DAY(E534)</f>
        <v>16</v>
      </c>
      <c r="C534" s="4">
        <f>MONTH(E534)</f>
        <v>11</v>
      </c>
      <c r="D534" s="4">
        <f>YEAR(E534)</f>
        <v>2023</v>
      </c>
      <c r="E534" s="3">
        <v>45246</v>
      </c>
      <c r="F534" s="4" t="s">
        <v>556</v>
      </c>
      <c r="G534" s="4" t="s">
        <v>15</v>
      </c>
      <c r="H534" s="4">
        <v>19</v>
      </c>
      <c r="I534" s="4" t="str" cm="1">
        <f t="array" ref="I534">_xlfn.IFS(
  H534&lt;30,"Young Adult",
  H534&lt;50,"Adult",
  H534&gt;=50,"Senior"
)</f>
        <v>Young Adult</v>
      </c>
      <c r="J534" s="4" t="s">
        <v>23</v>
      </c>
      <c r="K534" s="4">
        <v>3</v>
      </c>
      <c r="L534" s="5">
        <v>500</v>
      </c>
      <c r="M534" s="5">
        <f xml:space="preserve"> K534*L534</f>
        <v>1500</v>
      </c>
      <c r="N534" s="14">
        <f xml:space="preserve"> M534 * $Q$3</f>
        <v>22.5</v>
      </c>
      <c r="O534" s="5"/>
    </row>
    <row r="535" spans="1:15">
      <c r="A535" s="2">
        <v>534</v>
      </c>
      <c r="B535" s="4">
        <f>DAY(E535)</f>
        <v>10</v>
      </c>
      <c r="C535" s="4">
        <f>MONTH(E535)</f>
        <v>6</v>
      </c>
      <c r="D535" s="4">
        <f>YEAR(E535)</f>
        <v>2023</v>
      </c>
      <c r="E535" s="3">
        <v>45087</v>
      </c>
      <c r="F535" s="4" t="s">
        <v>557</v>
      </c>
      <c r="G535" s="4" t="s">
        <v>15</v>
      </c>
      <c r="H535" s="4">
        <v>45</v>
      </c>
      <c r="I535" s="4" t="str" cm="1">
        <f t="array" ref="I535">_xlfn.IFS(
  H535&lt;30,"Young Adult",
  H535&lt;50,"Adult",
  H535&gt;=50,"Senior"
)</f>
        <v>Adult</v>
      </c>
      <c r="J535" s="4" t="s">
        <v>20</v>
      </c>
      <c r="K535" s="4">
        <v>2</v>
      </c>
      <c r="L535" s="5">
        <v>500</v>
      </c>
      <c r="M535" s="5">
        <f xml:space="preserve"> K535*L535</f>
        <v>1000</v>
      </c>
      <c r="N535" s="14">
        <f xml:space="preserve"> M535 * $Q$3</f>
        <v>15</v>
      </c>
      <c r="O535" s="5"/>
    </row>
    <row r="536" spans="1:15">
      <c r="A536" s="2">
        <v>535</v>
      </c>
      <c r="B536" s="4">
        <f>DAY(E536)</f>
        <v>6</v>
      </c>
      <c r="C536" s="4">
        <f>MONTH(E536)</f>
        <v>12</v>
      </c>
      <c r="D536" s="4">
        <f>YEAR(E536)</f>
        <v>2023</v>
      </c>
      <c r="E536" s="3">
        <v>45266</v>
      </c>
      <c r="F536" s="4" t="s">
        <v>558</v>
      </c>
      <c r="G536" s="4" t="s">
        <v>15</v>
      </c>
      <c r="H536" s="4">
        <v>47</v>
      </c>
      <c r="I536" s="4" t="str" cm="1">
        <f t="array" ref="I536">_xlfn.IFS(
  H536&lt;30,"Young Adult",
  H536&lt;50,"Adult",
  H536&gt;=50,"Senior"
)</f>
        <v>Adult</v>
      </c>
      <c r="J536" s="4" t="s">
        <v>16</v>
      </c>
      <c r="K536" s="4">
        <v>3</v>
      </c>
      <c r="L536" s="5">
        <v>30</v>
      </c>
      <c r="M536" s="5">
        <f xml:space="preserve"> K536*L536</f>
        <v>90</v>
      </c>
      <c r="N536" s="14">
        <f xml:space="preserve"> M536 * $Q$3</f>
        <v>1.3499999999999999</v>
      </c>
      <c r="O536" s="5"/>
    </row>
    <row r="537" spans="1:15">
      <c r="A537" s="2">
        <v>536</v>
      </c>
      <c r="B537" s="4">
        <f>DAY(E537)</f>
        <v>5</v>
      </c>
      <c r="C537" s="4">
        <f>MONTH(E537)</f>
        <v>3</v>
      </c>
      <c r="D537" s="4">
        <f>YEAR(E537)</f>
        <v>2023</v>
      </c>
      <c r="E537" s="17">
        <v>44990</v>
      </c>
      <c r="F537" s="4" t="s">
        <v>559</v>
      </c>
      <c r="G537" s="4" t="s">
        <v>19</v>
      </c>
      <c r="H537" s="4">
        <v>55</v>
      </c>
      <c r="I537" s="4" t="str" cm="1">
        <f t="array" ref="I537">_xlfn.IFS(
  H537&lt;30,"Young Adult",
  H537&lt;50,"Adult",
  H537&gt;=50,"Senior"
)</f>
        <v>Senior</v>
      </c>
      <c r="J537" s="4" t="s">
        <v>16</v>
      </c>
      <c r="K537" s="4">
        <v>4</v>
      </c>
      <c r="L537" s="5">
        <v>30</v>
      </c>
      <c r="M537" s="5">
        <f xml:space="preserve"> K537*L537</f>
        <v>120</v>
      </c>
      <c r="N537" s="14">
        <f xml:space="preserve"> M537 * $Q$3</f>
        <v>1.7999999999999998</v>
      </c>
      <c r="O537" s="5"/>
    </row>
    <row r="538" spans="1:15">
      <c r="A538" s="2">
        <v>537</v>
      </c>
      <c r="B538" s="4">
        <f>DAY(E538)</f>
        <v>3</v>
      </c>
      <c r="C538" s="4">
        <f>MONTH(E538)</f>
        <v>6</v>
      </c>
      <c r="D538" s="4">
        <f>YEAR(E538)</f>
        <v>2023</v>
      </c>
      <c r="E538" s="3">
        <v>45080</v>
      </c>
      <c r="F538" s="4" t="s">
        <v>560</v>
      </c>
      <c r="G538" s="4" t="s">
        <v>19</v>
      </c>
      <c r="H538" s="4">
        <v>21</v>
      </c>
      <c r="I538" s="4" t="str" cm="1">
        <f t="array" ref="I538">_xlfn.IFS(
  H538&lt;30,"Young Adult",
  H538&lt;50,"Adult",
  H538&gt;=50,"Senior"
)</f>
        <v>Young Adult</v>
      </c>
      <c r="J538" s="4" t="s">
        <v>16</v>
      </c>
      <c r="K538" s="4">
        <v>1</v>
      </c>
      <c r="L538" s="5">
        <v>500</v>
      </c>
      <c r="M538" s="5">
        <f xml:space="preserve"> K538*L538</f>
        <v>500</v>
      </c>
      <c r="N538" s="14">
        <f xml:space="preserve"> M538 * $Q$3</f>
        <v>7.5</v>
      </c>
      <c r="O538" s="5"/>
    </row>
    <row r="539" spans="1:15">
      <c r="A539" s="2">
        <v>538</v>
      </c>
      <c r="B539" s="4">
        <f>DAY(E539)</f>
        <v>17</v>
      </c>
      <c r="C539" s="4">
        <f>MONTH(E539)</f>
        <v>9</v>
      </c>
      <c r="D539" s="4">
        <f>YEAR(E539)</f>
        <v>2023</v>
      </c>
      <c r="E539" s="3">
        <v>45186</v>
      </c>
      <c r="F539" s="4" t="s">
        <v>561</v>
      </c>
      <c r="G539" s="4" t="s">
        <v>15</v>
      </c>
      <c r="H539" s="4">
        <v>18</v>
      </c>
      <c r="I539" s="4" t="str" cm="1">
        <f t="array" ref="I539">_xlfn.IFS(
  H539&lt;30,"Young Adult",
  H539&lt;50,"Adult",
  H539&gt;=50,"Senior"
)</f>
        <v>Young Adult</v>
      </c>
      <c r="J539" s="4" t="s">
        <v>20</v>
      </c>
      <c r="K539" s="4">
        <v>3</v>
      </c>
      <c r="L539" s="5">
        <v>50</v>
      </c>
      <c r="M539" s="5">
        <f xml:space="preserve"> K539*L539</f>
        <v>150</v>
      </c>
      <c r="N539" s="14">
        <f xml:space="preserve"> M539 * $Q$3</f>
        <v>2.25</v>
      </c>
      <c r="O539" s="5"/>
    </row>
    <row r="540" spans="1:15">
      <c r="A540" s="2">
        <v>539</v>
      </c>
      <c r="B540" s="4">
        <f>DAY(E540)</f>
        <v>8</v>
      </c>
      <c r="C540" s="4">
        <f>MONTH(E540)</f>
        <v>6</v>
      </c>
      <c r="D540" s="4">
        <f>YEAR(E540)</f>
        <v>2023</v>
      </c>
      <c r="E540" s="3">
        <v>45085</v>
      </c>
      <c r="F540" s="4" t="s">
        <v>562</v>
      </c>
      <c r="G540" s="4" t="s">
        <v>15</v>
      </c>
      <c r="H540" s="4">
        <v>25</v>
      </c>
      <c r="I540" s="4" t="str" cm="1">
        <f t="array" ref="I540">_xlfn.IFS(
  H540&lt;30,"Young Adult",
  H540&lt;50,"Adult",
  H540&gt;=50,"Senior"
)</f>
        <v>Young Adult</v>
      </c>
      <c r="J540" s="4" t="s">
        <v>16</v>
      </c>
      <c r="K540" s="4">
        <v>1</v>
      </c>
      <c r="L540" s="5">
        <v>500</v>
      </c>
      <c r="M540" s="5">
        <f xml:space="preserve"> K540*L540</f>
        <v>500</v>
      </c>
      <c r="N540" s="14">
        <f xml:space="preserve"> M540 * $Q$3</f>
        <v>7.5</v>
      </c>
      <c r="O540" s="5"/>
    </row>
    <row r="541" spans="1:15">
      <c r="A541" s="2">
        <v>540</v>
      </c>
      <c r="B541" s="4">
        <f>DAY(E541)</f>
        <v>8</v>
      </c>
      <c r="C541" s="4">
        <f>MONTH(E541)</f>
        <v>12</v>
      </c>
      <c r="D541" s="4">
        <f>YEAR(E541)</f>
        <v>2023</v>
      </c>
      <c r="E541" s="3">
        <v>45268</v>
      </c>
      <c r="F541" s="4" t="s">
        <v>563</v>
      </c>
      <c r="G541" s="4" t="s">
        <v>19</v>
      </c>
      <c r="H541" s="4">
        <v>46</v>
      </c>
      <c r="I541" s="4" t="str" cm="1">
        <f t="array" ref="I541">_xlfn.IFS(
  H541&lt;30,"Young Adult",
  H541&lt;50,"Adult",
  H541&gt;=50,"Senior"
)</f>
        <v>Adult</v>
      </c>
      <c r="J541" s="4" t="s">
        <v>23</v>
      </c>
      <c r="K541" s="4">
        <v>3</v>
      </c>
      <c r="L541" s="5">
        <v>300</v>
      </c>
      <c r="M541" s="5">
        <f xml:space="preserve"> K541*L541</f>
        <v>900</v>
      </c>
      <c r="N541" s="14">
        <f xml:space="preserve"> M541 * $Q$3</f>
        <v>13.5</v>
      </c>
      <c r="O541" s="5"/>
    </row>
    <row r="542" spans="1:15">
      <c r="A542" s="2">
        <v>541</v>
      </c>
      <c r="B542" s="4">
        <f>DAY(E542)</f>
        <v>29</v>
      </c>
      <c r="C542" s="4">
        <f>MONTH(E542)</f>
        <v>7</v>
      </c>
      <c r="D542" s="4">
        <f>YEAR(E542)</f>
        <v>2023</v>
      </c>
      <c r="E542" s="3">
        <v>45136</v>
      </c>
      <c r="F542" s="4" t="s">
        <v>564</v>
      </c>
      <c r="G542" s="4" t="s">
        <v>15</v>
      </c>
      <c r="H542" s="4">
        <v>56</v>
      </c>
      <c r="I542" s="4" t="str" cm="1">
        <f t="array" ref="I542">_xlfn.IFS(
  H542&lt;30,"Young Adult",
  H542&lt;50,"Adult",
  H542&gt;=50,"Senior"
)</f>
        <v>Senior</v>
      </c>
      <c r="J542" s="4" t="s">
        <v>16</v>
      </c>
      <c r="K542" s="4">
        <v>1</v>
      </c>
      <c r="L542" s="5">
        <v>500</v>
      </c>
      <c r="M542" s="5">
        <f xml:space="preserve"> K542*L542</f>
        <v>500</v>
      </c>
      <c r="N542" s="14">
        <f xml:space="preserve"> M542 * $Q$3</f>
        <v>7.5</v>
      </c>
      <c r="O542" s="5"/>
    </row>
    <row r="543" spans="1:15">
      <c r="A543" s="2">
        <v>542</v>
      </c>
      <c r="B543" s="4">
        <f>DAY(E543)</f>
        <v>17</v>
      </c>
      <c r="C543" s="4">
        <f>MONTH(E543)</f>
        <v>6</v>
      </c>
      <c r="D543" s="4">
        <f>YEAR(E543)</f>
        <v>2023</v>
      </c>
      <c r="E543" s="3">
        <v>45094</v>
      </c>
      <c r="F543" s="4" t="s">
        <v>565</v>
      </c>
      <c r="G543" s="4" t="s">
        <v>19</v>
      </c>
      <c r="H543" s="4">
        <v>20</v>
      </c>
      <c r="I543" s="4" t="str" cm="1">
        <f t="array" ref="I543">_xlfn.IFS(
  H543&lt;30,"Young Adult",
  H543&lt;50,"Adult",
  H543&gt;=50,"Senior"
)</f>
        <v>Young Adult</v>
      </c>
      <c r="J543" s="4" t="s">
        <v>16</v>
      </c>
      <c r="K543" s="4">
        <v>1</v>
      </c>
      <c r="L543" s="5">
        <v>50</v>
      </c>
      <c r="M543" s="5">
        <f xml:space="preserve"> K543*L543</f>
        <v>50</v>
      </c>
      <c r="N543" s="14">
        <f xml:space="preserve"> M543 * $Q$3</f>
        <v>0.75</v>
      </c>
      <c r="O543" s="5"/>
    </row>
    <row r="544" spans="1:15">
      <c r="A544" s="2">
        <v>543</v>
      </c>
      <c r="B544" s="4">
        <f>DAY(E544)</f>
        <v>26</v>
      </c>
      <c r="C544" s="4">
        <f>MONTH(E544)</f>
        <v>7</v>
      </c>
      <c r="D544" s="4">
        <f>YEAR(E544)</f>
        <v>2023</v>
      </c>
      <c r="E544" s="3">
        <v>45133</v>
      </c>
      <c r="F544" s="4" t="s">
        <v>566</v>
      </c>
      <c r="G544" s="4" t="s">
        <v>15</v>
      </c>
      <c r="H544" s="4">
        <v>49</v>
      </c>
      <c r="I544" s="4" t="str" cm="1">
        <f t="array" ref="I544">_xlfn.IFS(
  H544&lt;30,"Young Adult",
  H544&lt;50,"Adult",
  H544&gt;=50,"Senior"
)</f>
        <v>Adult</v>
      </c>
      <c r="J544" s="4" t="s">
        <v>16</v>
      </c>
      <c r="K544" s="4">
        <v>2</v>
      </c>
      <c r="L544" s="5">
        <v>300</v>
      </c>
      <c r="M544" s="5">
        <f xml:space="preserve"> K544*L544</f>
        <v>600</v>
      </c>
      <c r="N544" s="14">
        <f xml:space="preserve"> M544 * $Q$3</f>
        <v>9</v>
      </c>
      <c r="O544" s="5"/>
    </row>
    <row r="545" spans="1:15">
      <c r="A545" s="2">
        <v>544</v>
      </c>
      <c r="B545" s="4">
        <f>DAY(E545)</f>
        <v>23</v>
      </c>
      <c r="C545" s="4">
        <f>MONTH(E545)</f>
        <v>12</v>
      </c>
      <c r="D545" s="4">
        <f>YEAR(E545)</f>
        <v>2023</v>
      </c>
      <c r="E545" s="3">
        <v>45283</v>
      </c>
      <c r="F545" s="4" t="s">
        <v>567</v>
      </c>
      <c r="G545" s="4" t="s">
        <v>19</v>
      </c>
      <c r="H545" s="4">
        <v>27</v>
      </c>
      <c r="I545" s="4" t="str" cm="1">
        <f t="array" ref="I545">_xlfn.IFS(
  H545&lt;30,"Young Adult",
  H545&lt;50,"Adult",
  H545&gt;=50,"Senior"
)</f>
        <v>Young Adult</v>
      </c>
      <c r="J545" s="4" t="s">
        <v>23</v>
      </c>
      <c r="K545" s="4">
        <v>1</v>
      </c>
      <c r="L545" s="5">
        <v>25</v>
      </c>
      <c r="M545" s="5">
        <f xml:space="preserve"> K545*L545</f>
        <v>25</v>
      </c>
      <c r="N545" s="14">
        <f xml:space="preserve"> M545 * $Q$3</f>
        <v>0.375</v>
      </c>
      <c r="O545" s="5"/>
    </row>
    <row r="546" spans="1:15">
      <c r="A546" s="2">
        <v>545</v>
      </c>
      <c r="B546" s="4">
        <f>DAY(E546)</f>
        <v>1</v>
      </c>
      <c r="C546" s="4">
        <f>MONTH(E546)</f>
        <v>6</v>
      </c>
      <c r="D546" s="4">
        <f>YEAR(E546)</f>
        <v>2023</v>
      </c>
      <c r="E546" s="3">
        <v>45078</v>
      </c>
      <c r="F546" s="4" t="s">
        <v>568</v>
      </c>
      <c r="G546" s="4" t="s">
        <v>15</v>
      </c>
      <c r="H546" s="4">
        <v>27</v>
      </c>
      <c r="I546" s="4" t="str" cm="1">
        <f t="array" ref="I546">_xlfn.IFS(
  H546&lt;30,"Young Adult",
  H546&lt;50,"Adult",
  H546&gt;=50,"Senior"
)</f>
        <v>Young Adult</v>
      </c>
      <c r="J546" s="4" t="s">
        <v>20</v>
      </c>
      <c r="K546" s="4">
        <v>2</v>
      </c>
      <c r="L546" s="5">
        <v>25</v>
      </c>
      <c r="M546" s="5">
        <f xml:space="preserve"> K546*L546</f>
        <v>50</v>
      </c>
      <c r="N546" s="14">
        <f xml:space="preserve"> M546 * $Q$3</f>
        <v>0.75</v>
      </c>
      <c r="O546" s="5"/>
    </row>
    <row r="547" spans="1:15">
      <c r="A547" s="2">
        <v>546</v>
      </c>
      <c r="B547" s="4">
        <f>DAY(E547)</f>
        <v>11</v>
      </c>
      <c r="C547" s="4">
        <f>MONTH(E547)</f>
        <v>10</v>
      </c>
      <c r="D547" s="4">
        <f>YEAR(E547)</f>
        <v>2023</v>
      </c>
      <c r="E547" s="3">
        <v>45210</v>
      </c>
      <c r="F547" s="4" t="s">
        <v>569</v>
      </c>
      <c r="G547" s="4" t="s">
        <v>19</v>
      </c>
      <c r="H547" s="4">
        <v>36</v>
      </c>
      <c r="I547" s="4" t="str" cm="1">
        <f t="array" ref="I547">_xlfn.IFS(
  H547&lt;30,"Young Adult",
  H547&lt;50,"Adult",
  H547&gt;=50,"Senior"
)</f>
        <v>Adult</v>
      </c>
      <c r="J547" s="4" t="s">
        <v>23</v>
      </c>
      <c r="K547" s="4">
        <v>4</v>
      </c>
      <c r="L547" s="5">
        <v>50</v>
      </c>
      <c r="M547" s="5">
        <f xml:space="preserve"> K547*L547</f>
        <v>200</v>
      </c>
      <c r="N547" s="14">
        <f xml:space="preserve"> M547 * $Q$3</f>
        <v>3</v>
      </c>
      <c r="O547" s="5"/>
    </row>
    <row r="548" spans="1:15">
      <c r="A548" s="2">
        <v>547</v>
      </c>
      <c r="B548" s="4">
        <f>DAY(E548)</f>
        <v>7</v>
      </c>
      <c r="C548" s="4">
        <f>MONTH(E548)</f>
        <v>3</v>
      </c>
      <c r="D548" s="4">
        <f>YEAR(E548)</f>
        <v>2023</v>
      </c>
      <c r="E548" s="17">
        <v>44992</v>
      </c>
      <c r="F548" s="4" t="s">
        <v>570</v>
      </c>
      <c r="G548" s="4" t="s">
        <v>15</v>
      </c>
      <c r="H548" s="4">
        <v>63</v>
      </c>
      <c r="I548" s="4" t="str" cm="1">
        <f t="array" ref="I548">_xlfn.IFS(
  H548&lt;30,"Young Adult",
  H548&lt;50,"Adult",
  H548&gt;=50,"Senior"
)</f>
        <v>Senior</v>
      </c>
      <c r="J548" s="4" t="s">
        <v>20</v>
      </c>
      <c r="K548" s="4">
        <v>4</v>
      </c>
      <c r="L548" s="5">
        <v>500</v>
      </c>
      <c r="M548" s="5">
        <f xml:space="preserve"> K548*L548</f>
        <v>2000</v>
      </c>
      <c r="N548" s="14">
        <f xml:space="preserve"> M548 * $Q$3</f>
        <v>30</v>
      </c>
      <c r="O548" s="5"/>
    </row>
    <row r="549" spans="1:15">
      <c r="A549" s="2">
        <v>548</v>
      </c>
      <c r="B549" s="4">
        <f>DAY(E549)</f>
        <v>9</v>
      </c>
      <c r="C549" s="4">
        <f>MONTH(E549)</f>
        <v>4</v>
      </c>
      <c r="D549" s="4">
        <f>YEAR(E549)</f>
        <v>2023</v>
      </c>
      <c r="E549" s="17">
        <v>45025</v>
      </c>
      <c r="F549" s="4" t="s">
        <v>571</v>
      </c>
      <c r="G549" s="4" t="s">
        <v>19</v>
      </c>
      <c r="H549" s="4">
        <v>51</v>
      </c>
      <c r="I549" s="4" t="str" cm="1">
        <f t="array" ref="I549">_xlfn.IFS(
  H549&lt;30,"Young Adult",
  H549&lt;50,"Adult",
  H549&gt;=50,"Senior"
)</f>
        <v>Senior</v>
      </c>
      <c r="J549" s="4" t="s">
        <v>20</v>
      </c>
      <c r="K549" s="4">
        <v>2</v>
      </c>
      <c r="L549" s="5">
        <v>30</v>
      </c>
      <c r="M549" s="5">
        <f xml:space="preserve"> K549*L549</f>
        <v>60</v>
      </c>
      <c r="N549" s="14">
        <f xml:space="preserve"> M549 * $Q$3</f>
        <v>0.89999999999999991</v>
      </c>
      <c r="O549" s="5"/>
    </row>
    <row r="550" spans="1:15">
      <c r="A550" s="2">
        <v>549</v>
      </c>
      <c r="B550" s="4">
        <f>DAY(E550)</f>
        <v>4</v>
      </c>
      <c r="C550" s="4">
        <f>MONTH(E550)</f>
        <v>8</v>
      </c>
      <c r="D550" s="4">
        <f>YEAR(E550)</f>
        <v>2023</v>
      </c>
      <c r="E550" s="3">
        <v>45142</v>
      </c>
      <c r="F550" s="4" t="s">
        <v>572</v>
      </c>
      <c r="G550" s="4" t="s">
        <v>19</v>
      </c>
      <c r="H550" s="4">
        <v>50</v>
      </c>
      <c r="I550" s="4" t="str" cm="1">
        <f t="array" ref="I550">_xlfn.IFS(
  H550&lt;30,"Young Adult",
  H550&lt;50,"Adult",
  H550&gt;=50,"Senior"
)</f>
        <v>Senior</v>
      </c>
      <c r="J550" s="4" t="s">
        <v>16</v>
      </c>
      <c r="K550" s="4">
        <v>2</v>
      </c>
      <c r="L550" s="5">
        <v>50</v>
      </c>
      <c r="M550" s="5">
        <f xml:space="preserve"> K550*L550</f>
        <v>100</v>
      </c>
      <c r="N550" s="14">
        <f xml:space="preserve"> M550 * $Q$3</f>
        <v>1.5</v>
      </c>
      <c r="O550" s="5"/>
    </row>
    <row r="551" spans="1:15">
      <c r="A551" s="2">
        <v>550</v>
      </c>
      <c r="B551" s="4">
        <f>DAY(E551)</f>
        <v>7</v>
      </c>
      <c r="C551" s="4">
        <f>MONTH(E551)</f>
        <v>12</v>
      </c>
      <c r="D551" s="4">
        <f>YEAR(E551)</f>
        <v>2023</v>
      </c>
      <c r="E551" s="3">
        <v>45267</v>
      </c>
      <c r="F551" s="4" t="s">
        <v>573</v>
      </c>
      <c r="G551" s="4" t="s">
        <v>15</v>
      </c>
      <c r="H551" s="4">
        <v>40</v>
      </c>
      <c r="I551" s="4" t="str" cm="1">
        <f t="array" ref="I551">_xlfn.IFS(
  H551&lt;30,"Young Adult",
  H551&lt;50,"Adult",
  H551&gt;=50,"Senior"
)</f>
        <v>Adult</v>
      </c>
      <c r="J551" s="4" t="s">
        <v>20</v>
      </c>
      <c r="K551" s="4">
        <v>3</v>
      </c>
      <c r="L551" s="5">
        <v>300</v>
      </c>
      <c r="M551" s="5">
        <f xml:space="preserve"> K551*L551</f>
        <v>900</v>
      </c>
      <c r="N551" s="14">
        <f xml:space="preserve"> M551 * $Q$3</f>
        <v>13.5</v>
      </c>
      <c r="O551" s="5"/>
    </row>
    <row r="552" spans="1:15">
      <c r="A552" s="2">
        <v>551</v>
      </c>
      <c r="B552" s="4">
        <f>DAY(E552)</f>
        <v>14</v>
      </c>
      <c r="C552" s="4">
        <f>MONTH(E552)</f>
        <v>7</v>
      </c>
      <c r="D552" s="4">
        <f>YEAR(E552)</f>
        <v>2023</v>
      </c>
      <c r="E552" s="3">
        <v>45121</v>
      </c>
      <c r="F552" s="4" t="s">
        <v>574</v>
      </c>
      <c r="G552" s="4" t="s">
        <v>15</v>
      </c>
      <c r="H552" s="4">
        <v>45</v>
      </c>
      <c r="I552" s="4" t="str" cm="1">
        <f t="array" ref="I552">_xlfn.IFS(
  H552&lt;30,"Young Adult",
  H552&lt;50,"Adult",
  H552&gt;=50,"Senior"
)</f>
        <v>Adult</v>
      </c>
      <c r="J552" s="4" t="s">
        <v>23</v>
      </c>
      <c r="K552" s="4">
        <v>3</v>
      </c>
      <c r="L552" s="5">
        <v>300</v>
      </c>
      <c r="M552" s="5">
        <f xml:space="preserve"> K552*L552</f>
        <v>900</v>
      </c>
      <c r="N552" s="14">
        <f xml:space="preserve"> M552 * $Q$3</f>
        <v>13.5</v>
      </c>
      <c r="O552" s="5"/>
    </row>
    <row r="553" spans="1:15">
      <c r="A553" s="2">
        <v>552</v>
      </c>
      <c r="B553" s="4">
        <f>DAY(E553)</f>
        <v>13</v>
      </c>
      <c r="C553" s="4">
        <f>MONTH(E553)</f>
        <v>12</v>
      </c>
      <c r="D553" s="4">
        <f>YEAR(E553)</f>
        <v>2023</v>
      </c>
      <c r="E553" s="3">
        <v>45273</v>
      </c>
      <c r="F553" s="4" t="s">
        <v>575</v>
      </c>
      <c r="G553" s="4" t="s">
        <v>19</v>
      </c>
      <c r="H553" s="4">
        <v>49</v>
      </c>
      <c r="I553" s="4" t="str" cm="1">
        <f t="array" ref="I553">_xlfn.IFS(
  H553&lt;30,"Young Adult",
  H553&lt;50,"Adult",
  H553&gt;=50,"Senior"
)</f>
        <v>Adult</v>
      </c>
      <c r="J553" s="4" t="s">
        <v>23</v>
      </c>
      <c r="K553" s="4">
        <v>3</v>
      </c>
      <c r="L553" s="5">
        <v>25</v>
      </c>
      <c r="M553" s="5">
        <f xml:space="preserve"> K553*L553</f>
        <v>75</v>
      </c>
      <c r="N553" s="14">
        <f xml:space="preserve"> M553 * $Q$3</f>
        <v>1.125</v>
      </c>
      <c r="O553" s="5"/>
    </row>
    <row r="554" spans="1:15">
      <c r="A554" s="2">
        <v>553</v>
      </c>
      <c r="B554" s="4">
        <f>DAY(E554)</f>
        <v>31</v>
      </c>
      <c r="C554" s="4">
        <f>MONTH(E554)</f>
        <v>3</v>
      </c>
      <c r="D554" s="4">
        <f>YEAR(E554)</f>
        <v>2023</v>
      </c>
      <c r="E554" s="17">
        <v>45016</v>
      </c>
      <c r="F554" s="4" t="s">
        <v>576</v>
      </c>
      <c r="G554" s="4" t="s">
        <v>15</v>
      </c>
      <c r="H554" s="4">
        <v>24</v>
      </c>
      <c r="I554" s="4" t="str" cm="1">
        <f t="array" ref="I554">_xlfn.IFS(
  H554&lt;30,"Young Adult",
  H554&lt;50,"Adult",
  H554&gt;=50,"Senior"
)</f>
        <v>Young Adult</v>
      </c>
      <c r="J554" s="4" t="s">
        <v>20</v>
      </c>
      <c r="K554" s="4">
        <v>4</v>
      </c>
      <c r="L554" s="5">
        <v>300</v>
      </c>
      <c r="M554" s="5">
        <f xml:space="preserve"> K554*L554</f>
        <v>1200</v>
      </c>
      <c r="N554" s="14">
        <f xml:space="preserve"> M554 * $Q$3</f>
        <v>18</v>
      </c>
      <c r="O554" s="5"/>
    </row>
    <row r="555" spans="1:15">
      <c r="A555" s="2">
        <v>554</v>
      </c>
      <c r="B555" s="4">
        <f>DAY(E555)</f>
        <v>12</v>
      </c>
      <c r="C555" s="4">
        <f>MONTH(E555)</f>
        <v>11</v>
      </c>
      <c r="D555" s="4">
        <f>YEAR(E555)</f>
        <v>2023</v>
      </c>
      <c r="E555" s="3">
        <v>45242</v>
      </c>
      <c r="F555" s="4" t="s">
        <v>577</v>
      </c>
      <c r="G555" s="4" t="s">
        <v>19</v>
      </c>
      <c r="H555" s="4">
        <v>46</v>
      </c>
      <c r="I555" s="4" t="str" cm="1">
        <f t="array" ref="I555">_xlfn.IFS(
  H555&lt;30,"Young Adult",
  H555&lt;50,"Adult",
  H555&gt;=50,"Senior"
)</f>
        <v>Adult</v>
      </c>
      <c r="J555" s="4" t="s">
        <v>16</v>
      </c>
      <c r="K555" s="4">
        <v>3</v>
      </c>
      <c r="L555" s="5">
        <v>50</v>
      </c>
      <c r="M555" s="5">
        <f xml:space="preserve"> K555*L555</f>
        <v>150</v>
      </c>
      <c r="N555" s="14">
        <f xml:space="preserve"> M555 * $Q$3</f>
        <v>2.25</v>
      </c>
      <c r="O555" s="5"/>
    </row>
    <row r="556" spans="1:15">
      <c r="A556" s="2">
        <v>555</v>
      </c>
      <c r="B556" s="4">
        <f>DAY(E556)</f>
        <v>19</v>
      </c>
      <c r="C556" s="4">
        <f>MONTH(E556)</f>
        <v>10</v>
      </c>
      <c r="D556" s="4">
        <f>YEAR(E556)</f>
        <v>2023</v>
      </c>
      <c r="E556" s="3">
        <v>45218</v>
      </c>
      <c r="F556" s="4" t="s">
        <v>578</v>
      </c>
      <c r="G556" s="4" t="s">
        <v>15</v>
      </c>
      <c r="H556" s="4">
        <v>25</v>
      </c>
      <c r="I556" s="4" t="str" cm="1">
        <f t="array" ref="I556">_xlfn.IFS(
  H556&lt;30,"Young Adult",
  H556&lt;50,"Adult",
  H556&gt;=50,"Senior"
)</f>
        <v>Young Adult</v>
      </c>
      <c r="J556" s="4" t="s">
        <v>16</v>
      </c>
      <c r="K556" s="4">
        <v>1</v>
      </c>
      <c r="L556" s="5">
        <v>300</v>
      </c>
      <c r="M556" s="5">
        <f xml:space="preserve"> K556*L556</f>
        <v>300</v>
      </c>
      <c r="N556" s="14">
        <f xml:space="preserve"> M556 * $Q$3</f>
        <v>4.5</v>
      </c>
      <c r="O556" s="5"/>
    </row>
    <row r="557" spans="1:15">
      <c r="A557" s="2">
        <v>556</v>
      </c>
      <c r="B557" s="4">
        <f>DAY(E557)</f>
        <v>4</v>
      </c>
      <c r="C557" s="4">
        <f>MONTH(E557)</f>
        <v>6</v>
      </c>
      <c r="D557" s="4">
        <f>YEAR(E557)</f>
        <v>2023</v>
      </c>
      <c r="E557" s="3">
        <v>45081</v>
      </c>
      <c r="F557" s="4" t="s">
        <v>579</v>
      </c>
      <c r="G557" s="4" t="s">
        <v>19</v>
      </c>
      <c r="H557" s="4">
        <v>18</v>
      </c>
      <c r="I557" s="4" t="str" cm="1">
        <f t="array" ref="I557">_xlfn.IFS(
  H557&lt;30,"Young Adult",
  H557&lt;50,"Adult",
  H557&gt;=50,"Senior"
)</f>
        <v>Young Adult</v>
      </c>
      <c r="J557" s="4" t="s">
        <v>23</v>
      </c>
      <c r="K557" s="4">
        <v>1</v>
      </c>
      <c r="L557" s="5">
        <v>50</v>
      </c>
      <c r="M557" s="5">
        <f xml:space="preserve"> K557*L557</f>
        <v>50</v>
      </c>
      <c r="N557" s="14">
        <f xml:space="preserve"> M557 * $Q$3</f>
        <v>0.75</v>
      </c>
      <c r="O557" s="5"/>
    </row>
    <row r="558" spans="1:15">
      <c r="A558" s="2">
        <v>557</v>
      </c>
      <c r="B558" s="4">
        <f>DAY(E558)</f>
        <v>27</v>
      </c>
      <c r="C558" s="4">
        <f>MONTH(E558)</f>
        <v>7</v>
      </c>
      <c r="D558" s="4">
        <f>YEAR(E558)</f>
        <v>2023</v>
      </c>
      <c r="E558" s="3">
        <v>45134</v>
      </c>
      <c r="F558" s="4" t="s">
        <v>580</v>
      </c>
      <c r="G558" s="4" t="s">
        <v>19</v>
      </c>
      <c r="H558" s="4">
        <v>20</v>
      </c>
      <c r="I558" s="4" t="str" cm="1">
        <f t="array" ref="I558">_xlfn.IFS(
  H558&lt;30,"Young Adult",
  H558&lt;50,"Adult",
  H558&gt;=50,"Senior"
)</f>
        <v>Young Adult</v>
      </c>
      <c r="J558" s="4" t="s">
        <v>16</v>
      </c>
      <c r="K558" s="4">
        <v>3</v>
      </c>
      <c r="L558" s="5">
        <v>30</v>
      </c>
      <c r="M558" s="5">
        <f xml:space="preserve"> K558*L558</f>
        <v>90</v>
      </c>
      <c r="N558" s="14">
        <f xml:space="preserve"> M558 * $Q$3</f>
        <v>1.3499999999999999</v>
      </c>
      <c r="O558" s="5"/>
    </row>
    <row r="559" spans="1:15">
      <c r="A559" s="2">
        <v>558</v>
      </c>
      <c r="B559" s="4">
        <f>DAY(E559)</f>
        <v>8</v>
      </c>
      <c r="C559" s="4">
        <f>MONTH(E559)</f>
        <v>10</v>
      </c>
      <c r="D559" s="4">
        <f>YEAR(E559)</f>
        <v>2023</v>
      </c>
      <c r="E559" s="3">
        <v>45207</v>
      </c>
      <c r="F559" s="4" t="s">
        <v>581</v>
      </c>
      <c r="G559" s="4" t="s">
        <v>19</v>
      </c>
      <c r="H559" s="4">
        <v>41</v>
      </c>
      <c r="I559" s="4" t="str" cm="1">
        <f t="array" ref="I559">_xlfn.IFS(
  H559&lt;30,"Young Adult",
  H559&lt;50,"Adult",
  H559&gt;=50,"Senior"
)</f>
        <v>Adult</v>
      </c>
      <c r="J559" s="4" t="s">
        <v>20</v>
      </c>
      <c r="K559" s="4">
        <v>1</v>
      </c>
      <c r="L559" s="5">
        <v>25</v>
      </c>
      <c r="M559" s="5">
        <f xml:space="preserve"> K559*L559</f>
        <v>25</v>
      </c>
      <c r="N559" s="14">
        <f xml:space="preserve"> M559 * $Q$3</f>
        <v>0.375</v>
      </c>
      <c r="O559" s="5"/>
    </row>
    <row r="560" spans="1:15">
      <c r="A560" s="2">
        <v>559</v>
      </c>
      <c r="B560" s="4">
        <f>DAY(E560)</f>
        <v>1</v>
      </c>
      <c r="C560" s="4">
        <f>MONTH(E560)</f>
        <v>1</v>
      </c>
      <c r="D560" s="4">
        <f>YEAR(E560)</f>
        <v>2023</v>
      </c>
      <c r="E560" s="3">
        <v>44927</v>
      </c>
      <c r="F560" s="4" t="s">
        <v>582</v>
      </c>
      <c r="G560" s="4" t="s">
        <v>19</v>
      </c>
      <c r="H560" s="4">
        <v>40</v>
      </c>
      <c r="I560" s="4" t="str" cm="1">
        <f t="array" ref="I560">_xlfn.IFS(
  H560&lt;30,"Young Adult",
  H560&lt;50,"Adult",
  H560&gt;=50,"Senior"
)</f>
        <v>Adult</v>
      </c>
      <c r="J560" s="4" t="s">
        <v>20</v>
      </c>
      <c r="K560" s="4">
        <v>4</v>
      </c>
      <c r="L560" s="5">
        <v>300</v>
      </c>
      <c r="M560" s="5">
        <f xml:space="preserve"> K560*L560</f>
        <v>1200</v>
      </c>
      <c r="N560" s="14">
        <f xml:space="preserve"> M560 * $Q$3</f>
        <v>18</v>
      </c>
      <c r="O560" s="5"/>
    </row>
    <row r="561" spans="1:15">
      <c r="A561" s="2">
        <v>560</v>
      </c>
      <c r="B561" s="4">
        <f>DAY(E561)</f>
        <v>5</v>
      </c>
      <c r="C561" s="4">
        <f>MONTH(E561)</f>
        <v>6</v>
      </c>
      <c r="D561" s="4">
        <f>YEAR(E561)</f>
        <v>2023</v>
      </c>
      <c r="E561" s="3">
        <v>45082</v>
      </c>
      <c r="F561" s="4" t="s">
        <v>583</v>
      </c>
      <c r="G561" s="4" t="s">
        <v>19</v>
      </c>
      <c r="H561" s="4">
        <v>25</v>
      </c>
      <c r="I561" s="4" t="str" cm="1">
        <f t="array" ref="I561">_xlfn.IFS(
  H561&lt;30,"Young Adult",
  H561&lt;50,"Adult",
  H561&gt;=50,"Senior"
)</f>
        <v>Young Adult</v>
      </c>
      <c r="J561" s="4" t="s">
        <v>23</v>
      </c>
      <c r="K561" s="4">
        <v>1</v>
      </c>
      <c r="L561" s="5">
        <v>50</v>
      </c>
      <c r="M561" s="5">
        <f xml:space="preserve"> K561*L561</f>
        <v>50</v>
      </c>
      <c r="N561" s="14">
        <f xml:space="preserve"> M561 * $Q$3</f>
        <v>0.75</v>
      </c>
      <c r="O561" s="5"/>
    </row>
    <row r="562" spans="1:15">
      <c r="A562" s="2">
        <v>561</v>
      </c>
      <c r="B562" s="4">
        <f>DAY(E562)</f>
        <v>27</v>
      </c>
      <c r="C562" s="4">
        <f>MONTH(E562)</f>
        <v>5</v>
      </c>
      <c r="D562" s="4">
        <f>YEAR(E562)</f>
        <v>2023</v>
      </c>
      <c r="E562" s="17">
        <v>45073</v>
      </c>
      <c r="F562" s="4" t="s">
        <v>584</v>
      </c>
      <c r="G562" s="4" t="s">
        <v>19</v>
      </c>
      <c r="H562" s="4">
        <v>64</v>
      </c>
      <c r="I562" s="4" t="str" cm="1">
        <f t="array" ref="I562">_xlfn.IFS(
  H562&lt;30,"Young Adult",
  H562&lt;50,"Adult",
  H562&gt;=50,"Senior"
)</f>
        <v>Senior</v>
      </c>
      <c r="J562" s="4" t="s">
        <v>20</v>
      </c>
      <c r="K562" s="4">
        <v>4</v>
      </c>
      <c r="L562" s="5">
        <v>500</v>
      </c>
      <c r="M562" s="5">
        <f xml:space="preserve"> K562*L562</f>
        <v>2000</v>
      </c>
      <c r="N562" s="14">
        <f xml:space="preserve"> M562 * $Q$3</f>
        <v>30</v>
      </c>
      <c r="O562" s="5"/>
    </row>
    <row r="563" spans="1:15">
      <c r="A563" s="2">
        <v>562</v>
      </c>
      <c r="B563" s="4">
        <f>DAY(E563)</f>
        <v>18</v>
      </c>
      <c r="C563" s="4">
        <f>MONTH(E563)</f>
        <v>4</v>
      </c>
      <c r="D563" s="4">
        <f>YEAR(E563)</f>
        <v>2023</v>
      </c>
      <c r="E563" s="17">
        <v>45034</v>
      </c>
      <c r="F563" s="4" t="s">
        <v>585</v>
      </c>
      <c r="G563" s="4" t="s">
        <v>15</v>
      </c>
      <c r="H563" s="4">
        <v>54</v>
      </c>
      <c r="I563" s="4" t="str" cm="1">
        <f t="array" ref="I563">_xlfn.IFS(
  H563&lt;30,"Young Adult",
  H563&lt;50,"Adult",
  H563&gt;=50,"Senior"
)</f>
        <v>Senior</v>
      </c>
      <c r="J563" s="4" t="s">
        <v>23</v>
      </c>
      <c r="K563" s="4">
        <v>2</v>
      </c>
      <c r="L563" s="5">
        <v>25</v>
      </c>
      <c r="M563" s="5">
        <f xml:space="preserve"> K563*L563</f>
        <v>50</v>
      </c>
      <c r="N563" s="14">
        <f xml:space="preserve"> M563 * $Q$3</f>
        <v>0.75</v>
      </c>
      <c r="O563" s="5"/>
    </row>
    <row r="564" spans="1:15">
      <c r="A564" s="2">
        <v>563</v>
      </c>
      <c r="B564" s="4">
        <f>DAY(E564)</f>
        <v>9</v>
      </c>
      <c r="C564" s="4">
        <f>MONTH(E564)</f>
        <v>8</v>
      </c>
      <c r="D564" s="4">
        <f>YEAR(E564)</f>
        <v>2023</v>
      </c>
      <c r="E564" s="3">
        <v>45147</v>
      </c>
      <c r="F564" s="4" t="s">
        <v>586</v>
      </c>
      <c r="G564" s="4" t="s">
        <v>15</v>
      </c>
      <c r="H564" s="4">
        <v>20</v>
      </c>
      <c r="I564" s="4" t="str" cm="1">
        <f t="array" ref="I564">_xlfn.IFS(
  H564&lt;30,"Young Adult",
  H564&lt;50,"Adult",
  H564&gt;=50,"Senior"
)</f>
        <v>Young Adult</v>
      </c>
      <c r="J564" s="4" t="s">
        <v>20</v>
      </c>
      <c r="K564" s="4">
        <v>2</v>
      </c>
      <c r="L564" s="5">
        <v>30</v>
      </c>
      <c r="M564" s="5">
        <f xml:space="preserve"> K564*L564</f>
        <v>60</v>
      </c>
      <c r="N564" s="14">
        <f xml:space="preserve"> M564 * $Q$3</f>
        <v>0.89999999999999991</v>
      </c>
      <c r="O564" s="5"/>
    </row>
    <row r="565" spans="1:15">
      <c r="A565" s="2">
        <v>564</v>
      </c>
      <c r="B565" s="4">
        <f>DAY(E565)</f>
        <v>24</v>
      </c>
      <c r="C565" s="4">
        <f>MONTH(E565)</f>
        <v>10</v>
      </c>
      <c r="D565" s="4">
        <f>YEAR(E565)</f>
        <v>2023</v>
      </c>
      <c r="E565" s="3">
        <v>45223</v>
      </c>
      <c r="F565" s="4" t="s">
        <v>587</v>
      </c>
      <c r="G565" s="4" t="s">
        <v>15</v>
      </c>
      <c r="H565" s="4">
        <v>50</v>
      </c>
      <c r="I565" s="4" t="str" cm="1">
        <f t="array" ref="I565">_xlfn.IFS(
  H565&lt;30,"Young Adult",
  H565&lt;50,"Adult",
  H565&gt;=50,"Senior"
)</f>
        <v>Senior</v>
      </c>
      <c r="J565" s="4" t="s">
        <v>23</v>
      </c>
      <c r="K565" s="4">
        <v>2</v>
      </c>
      <c r="L565" s="5">
        <v>50</v>
      </c>
      <c r="M565" s="5">
        <f xml:space="preserve"> K565*L565</f>
        <v>100</v>
      </c>
      <c r="N565" s="14">
        <f xml:space="preserve"> M565 * $Q$3</f>
        <v>1.5</v>
      </c>
      <c r="O565" s="5"/>
    </row>
    <row r="566" spans="1:15">
      <c r="A566" s="2">
        <v>565</v>
      </c>
      <c r="B566" s="4">
        <f>DAY(E566)</f>
        <v>7</v>
      </c>
      <c r="C566" s="4">
        <f>MONTH(E566)</f>
        <v>11</v>
      </c>
      <c r="D566" s="4">
        <f>YEAR(E566)</f>
        <v>2023</v>
      </c>
      <c r="E566" s="3">
        <v>45237</v>
      </c>
      <c r="F566" s="4" t="s">
        <v>588</v>
      </c>
      <c r="G566" s="4" t="s">
        <v>19</v>
      </c>
      <c r="H566" s="4">
        <v>45</v>
      </c>
      <c r="I566" s="4" t="str" cm="1">
        <f t="array" ref="I566">_xlfn.IFS(
  H566&lt;30,"Young Adult",
  H566&lt;50,"Adult",
  H566&gt;=50,"Senior"
)</f>
        <v>Adult</v>
      </c>
      <c r="J566" s="4" t="s">
        <v>16</v>
      </c>
      <c r="K566" s="4">
        <v>2</v>
      </c>
      <c r="L566" s="5">
        <v>30</v>
      </c>
      <c r="M566" s="5">
        <f xml:space="preserve"> K566*L566</f>
        <v>60</v>
      </c>
      <c r="N566" s="14">
        <f xml:space="preserve"> M566 * $Q$3</f>
        <v>0.89999999999999991</v>
      </c>
      <c r="O566" s="5"/>
    </row>
    <row r="567" spans="1:15">
      <c r="A567" s="2">
        <v>566</v>
      </c>
      <c r="B567" s="4">
        <f>DAY(E567)</f>
        <v>2</v>
      </c>
      <c r="C567" s="4">
        <f>MONTH(E567)</f>
        <v>12</v>
      </c>
      <c r="D567" s="4">
        <f>YEAR(E567)</f>
        <v>2023</v>
      </c>
      <c r="E567" s="3">
        <v>45262</v>
      </c>
      <c r="F567" s="4" t="s">
        <v>589</v>
      </c>
      <c r="G567" s="4" t="s">
        <v>19</v>
      </c>
      <c r="H567" s="4">
        <v>64</v>
      </c>
      <c r="I567" s="4" t="str" cm="1">
        <f t="array" ref="I567">_xlfn.IFS(
  H567&lt;30,"Young Adult",
  H567&lt;50,"Adult",
  H567&gt;=50,"Senior"
)</f>
        <v>Senior</v>
      </c>
      <c r="J567" s="4" t="s">
        <v>20</v>
      </c>
      <c r="K567" s="4">
        <v>1</v>
      </c>
      <c r="L567" s="5">
        <v>30</v>
      </c>
      <c r="M567" s="5">
        <f xml:space="preserve"> K567*L567</f>
        <v>30</v>
      </c>
      <c r="N567" s="14">
        <f xml:space="preserve"> M567 * $Q$3</f>
        <v>0.44999999999999996</v>
      </c>
      <c r="O567" s="5"/>
    </row>
    <row r="568" spans="1:15">
      <c r="A568" s="2">
        <v>567</v>
      </c>
      <c r="B568" s="4">
        <f>DAY(E568)</f>
        <v>14</v>
      </c>
      <c r="C568" s="4">
        <f>MONTH(E568)</f>
        <v>6</v>
      </c>
      <c r="D568" s="4">
        <f>YEAR(E568)</f>
        <v>2023</v>
      </c>
      <c r="E568" s="3">
        <v>45091</v>
      </c>
      <c r="F568" s="4" t="s">
        <v>590</v>
      </c>
      <c r="G568" s="4" t="s">
        <v>19</v>
      </c>
      <c r="H568" s="4">
        <v>25</v>
      </c>
      <c r="I568" s="4" t="str" cm="1">
        <f t="array" ref="I568">_xlfn.IFS(
  H568&lt;30,"Young Adult",
  H568&lt;50,"Adult",
  H568&gt;=50,"Senior"
)</f>
        <v>Young Adult</v>
      </c>
      <c r="J568" s="4" t="s">
        <v>20</v>
      </c>
      <c r="K568" s="4">
        <v>3</v>
      </c>
      <c r="L568" s="5">
        <v>300</v>
      </c>
      <c r="M568" s="5">
        <f xml:space="preserve"> K568*L568</f>
        <v>900</v>
      </c>
      <c r="N568" s="14">
        <f xml:space="preserve"> M568 * $Q$3</f>
        <v>13.5</v>
      </c>
      <c r="O568" s="5"/>
    </row>
    <row r="569" spans="1:15">
      <c r="A569" s="2">
        <v>568</v>
      </c>
      <c r="B569" s="4">
        <f>DAY(E569)</f>
        <v>27</v>
      </c>
      <c r="C569" s="4">
        <f>MONTH(E569)</f>
        <v>8</v>
      </c>
      <c r="D569" s="4">
        <f>YEAR(E569)</f>
        <v>2023</v>
      </c>
      <c r="E569" s="3">
        <v>45165</v>
      </c>
      <c r="F569" s="4" t="s">
        <v>591</v>
      </c>
      <c r="G569" s="4" t="s">
        <v>19</v>
      </c>
      <c r="H569" s="4">
        <v>51</v>
      </c>
      <c r="I569" s="4" t="str" cm="1">
        <f t="array" ref="I569">_xlfn.IFS(
  H569&lt;30,"Young Adult",
  H569&lt;50,"Adult",
  H569&gt;=50,"Senior"
)</f>
        <v>Senior</v>
      </c>
      <c r="J569" s="4" t="s">
        <v>23</v>
      </c>
      <c r="K569" s="4">
        <v>1</v>
      </c>
      <c r="L569" s="5">
        <v>300</v>
      </c>
      <c r="M569" s="5">
        <f xml:space="preserve"> K569*L569</f>
        <v>300</v>
      </c>
      <c r="N569" s="14">
        <f xml:space="preserve"> M569 * $Q$3</f>
        <v>4.5</v>
      </c>
      <c r="O569" s="5"/>
    </row>
    <row r="570" spans="1:15">
      <c r="A570" s="2">
        <v>569</v>
      </c>
      <c r="B570" s="4">
        <f>DAY(E570)</f>
        <v>15</v>
      </c>
      <c r="C570" s="4">
        <f>MONTH(E570)</f>
        <v>8</v>
      </c>
      <c r="D570" s="4">
        <f>YEAR(E570)</f>
        <v>2023</v>
      </c>
      <c r="E570" s="3">
        <v>45153</v>
      </c>
      <c r="F570" s="4" t="s">
        <v>592</v>
      </c>
      <c r="G570" s="4" t="s">
        <v>15</v>
      </c>
      <c r="H570" s="4">
        <v>52</v>
      </c>
      <c r="I570" s="4" t="str" cm="1">
        <f t="array" ref="I570">_xlfn.IFS(
  H570&lt;30,"Young Adult",
  H570&lt;50,"Adult",
  H570&gt;=50,"Senior"
)</f>
        <v>Senior</v>
      </c>
      <c r="J570" s="4" t="s">
        <v>23</v>
      </c>
      <c r="K570" s="4">
        <v>4</v>
      </c>
      <c r="L570" s="5">
        <v>50</v>
      </c>
      <c r="M570" s="5">
        <f xml:space="preserve"> K570*L570</f>
        <v>200</v>
      </c>
      <c r="N570" s="14">
        <f xml:space="preserve"> M570 * $Q$3</f>
        <v>3</v>
      </c>
      <c r="O570" s="5"/>
    </row>
    <row r="571" spans="1:15">
      <c r="A571" s="2">
        <v>570</v>
      </c>
      <c r="B571" s="4">
        <f>DAY(E571)</f>
        <v>15</v>
      </c>
      <c r="C571" s="4">
        <f>MONTH(E571)</f>
        <v>8</v>
      </c>
      <c r="D571" s="4">
        <f>YEAR(E571)</f>
        <v>2023</v>
      </c>
      <c r="E571" s="3">
        <v>45153</v>
      </c>
      <c r="F571" s="4" t="s">
        <v>593</v>
      </c>
      <c r="G571" s="4" t="s">
        <v>15</v>
      </c>
      <c r="H571" s="4">
        <v>49</v>
      </c>
      <c r="I571" s="4" t="str" cm="1">
        <f t="array" ref="I571">_xlfn.IFS(
  H571&lt;30,"Young Adult",
  H571&lt;50,"Adult",
  H571&gt;=50,"Senior"
)</f>
        <v>Adult</v>
      </c>
      <c r="J571" s="4" t="s">
        <v>20</v>
      </c>
      <c r="K571" s="4">
        <v>1</v>
      </c>
      <c r="L571" s="5">
        <v>500</v>
      </c>
      <c r="M571" s="5">
        <f xml:space="preserve"> K571*L571</f>
        <v>500</v>
      </c>
      <c r="N571" s="14">
        <f xml:space="preserve"> M571 * $Q$3</f>
        <v>7.5</v>
      </c>
      <c r="O571" s="5"/>
    </row>
    <row r="572" spans="1:15">
      <c r="A572" s="2">
        <v>571</v>
      </c>
      <c r="B572" s="4">
        <f>DAY(E572)</f>
        <v>12</v>
      </c>
      <c r="C572" s="4">
        <f>MONTH(E572)</f>
        <v>12</v>
      </c>
      <c r="D572" s="4">
        <f>YEAR(E572)</f>
        <v>2023</v>
      </c>
      <c r="E572" s="3">
        <v>45272</v>
      </c>
      <c r="F572" s="4" t="s">
        <v>594</v>
      </c>
      <c r="G572" s="4" t="s">
        <v>19</v>
      </c>
      <c r="H572" s="4">
        <v>41</v>
      </c>
      <c r="I572" s="4" t="str" cm="1">
        <f t="array" ref="I572">_xlfn.IFS(
  H572&lt;30,"Young Adult",
  H572&lt;50,"Adult",
  H572&gt;=50,"Senior"
)</f>
        <v>Adult</v>
      </c>
      <c r="J572" s="4" t="s">
        <v>23</v>
      </c>
      <c r="K572" s="4">
        <v>1</v>
      </c>
      <c r="L572" s="5">
        <v>50</v>
      </c>
      <c r="M572" s="5">
        <f xml:space="preserve"> K572*L572</f>
        <v>50</v>
      </c>
      <c r="N572" s="14">
        <f xml:space="preserve"> M572 * $Q$3</f>
        <v>0.75</v>
      </c>
      <c r="O572" s="5"/>
    </row>
    <row r="573" spans="1:15">
      <c r="A573" s="2">
        <v>572</v>
      </c>
      <c r="B573" s="4">
        <f>DAY(E573)</f>
        <v>20</v>
      </c>
      <c r="C573" s="4">
        <f>MONTH(E573)</f>
        <v>4</v>
      </c>
      <c r="D573" s="4">
        <f>YEAR(E573)</f>
        <v>2023</v>
      </c>
      <c r="E573" s="17">
        <v>45036</v>
      </c>
      <c r="F573" s="4" t="s">
        <v>595</v>
      </c>
      <c r="G573" s="4" t="s">
        <v>15</v>
      </c>
      <c r="H573" s="4">
        <v>31</v>
      </c>
      <c r="I573" s="4" t="str" cm="1">
        <f t="array" ref="I573">_xlfn.IFS(
  H573&lt;30,"Young Adult",
  H573&lt;50,"Adult",
  H573&gt;=50,"Senior"
)</f>
        <v>Adult</v>
      </c>
      <c r="J573" s="4" t="s">
        <v>20</v>
      </c>
      <c r="K573" s="4">
        <v>4</v>
      </c>
      <c r="L573" s="5">
        <v>500</v>
      </c>
      <c r="M573" s="5">
        <f xml:space="preserve"> K573*L573</f>
        <v>2000</v>
      </c>
      <c r="N573" s="14">
        <f xml:space="preserve"> M573 * $Q$3</f>
        <v>30</v>
      </c>
      <c r="O573" s="5"/>
    </row>
    <row r="574" spans="1:15">
      <c r="A574" s="2">
        <v>573</v>
      </c>
      <c r="B574" s="4">
        <f>DAY(E574)</f>
        <v>19</v>
      </c>
      <c r="C574" s="4">
        <f>MONTH(E574)</f>
        <v>9</v>
      </c>
      <c r="D574" s="4">
        <f>YEAR(E574)</f>
        <v>2023</v>
      </c>
      <c r="E574" s="3">
        <v>45188</v>
      </c>
      <c r="F574" s="4" t="s">
        <v>596</v>
      </c>
      <c r="G574" s="4" t="s">
        <v>15</v>
      </c>
      <c r="H574" s="4">
        <v>49</v>
      </c>
      <c r="I574" s="4" t="str" cm="1">
        <f t="array" ref="I574">_xlfn.IFS(
  H574&lt;30,"Young Adult",
  H574&lt;50,"Adult",
  H574&gt;=50,"Senior"
)</f>
        <v>Adult</v>
      </c>
      <c r="J574" s="4" t="s">
        <v>16</v>
      </c>
      <c r="K574" s="4">
        <v>2</v>
      </c>
      <c r="L574" s="5">
        <v>30</v>
      </c>
      <c r="M574" s="5">
        <f xml:space="preserve"> K574*L574</f>
        <v>60</v>
      </c>
      <c r="N574" s="14">
        <f xml:space="preserve"> M574 * $Q$3</f>
        <v>0.89999999999999991</v>
      </c>
      <c r="O574" s="5"/>
    </row>
    <row r="575" spans="1:15">
      <c r="A575" s="2">
        <v>574</v>
      </c>
      <c r="B575" s="4">
        <f>DAY(E575)</f>
        <v>31</v>
      </c>
      <c r="C575" s="4">
        <f>MONTH(E575)</f>
        <v>8</v>
      </c>
      <c r="D575" s="4">
        <f>YEAR(E575)</f>
        <v>2023</v>
      </c>
      <c r="E575" s="3">
        <v>45169</v>
      </c>
      <c r="F575" s="4" t="s">
        <v>597</v>
      </c>
      <c r="G575" s="4" t="s">
        <v>19</v>
      </c>
      <c r="H575" s="4">
        <v>63</v>
      </c>
      <c r="I575" s="4" t="str" cm="1">
        <f t="array" ref="I575">_xlfn.IFS(
  H575&lt;30,"Young Adult",
  H575&lt;50,"Adult",
  H575&gt;=50,"Senior"
)</f>
        <v>Senior</v>
      </c>
      <c r="J575" s="4" t="s">
        <v>23</v>
      </c>
      <c r="K575" s="4">
        <v>2</v>
      </c>
      <c r="L575" s="5">
        <v>25</v>
      </c>
      <c r="M575" s="5">
        <f xml:space="preserve"> K575*L575</f>
        <v>50</v>
      </c>
      <c r="N575" s="14">
        <f xml:space="preserve"> M575 * $Q$3</f>
        <v>0.75</v>
      </c>
      <c r="O575" s="5"/>
    </row>
    <row r="576" spans="1:15">
      <c r="A576" s="2">
        <v>575</v>
      </c>
      <c r="B576" s="4">
        <f>DAY(E576)</f>
        <v>28</v>
      </c>
      <c r="C576" s="4">
        <f>MONTH(E576)</f>
        <v>3</v>
      </c>
      <c r="D576" s="4">
        <f>YEAR(E576)</f>
        <v>2023</v>
      </c>
      <c r="E576" s="17">
        <v>45013</v>
      </c>
      <c r="F576" s="4" t="s">
        <v>598</v>
      </c>
      <c r="G576" s="4" t="s">
        <v>15</v>
      </c>
      <c r="H576" s="4">
        <v>60</v>
      </c>
      <c r="I576" s="4" t="str" cm="1">
        <f t="array" ref="I576">_xlfn.IFS(
  H576&lt;30,"Young Adult",
  H576&lt;50,"Adult",
  H576&gt;=50,"Senior"
)</f>
        <v>Senior</v>
      </c>
      <c r="J576" s="4" t="s">
        <v>20</v>
      </c>
      <c r="K576" s="4">
        <v>2</v>
      </c>
      <c r="L576" s="5">
        <v>50</v>
      </c>
      <c r="M576" s="5">
        <f xml:space="preserve"> K576*L576</f>
        <v>100</v>
      </c>
      <c r="N576" s="14">
        <f xml:space="preserve"> M576 * $Q$3</f>
        <v>1.5</v>
      </c>
      <c r="O576" s="5"/>
    </row>
    <row r="577" spans="1:15">
      <c r="A577" s="2">
        <v>576</v>
      </c>
      <c r="B577" s="4">
        <f>DAY(E577)</f>
        <v>4</v>
      </c>
      <c r="C577" s="4">
        <f>MONTH(E577)</f>
        <v>12</v>
      </c>
      <c r="D577" s="4">
        <f>YEAR(E577)</f>
        <v>2023</v>
      </c>
      <c r="E577" s="3">
        <v>45264</v>
      </c>
      <c r="F577" s="4" t="s">
        <v>599</v>
      </c>
      <c r="G577" s="4" t="s">
        <v>19</v>
      </c>
      <c r="H577" s="4">
        <v>33</v>
      </c>
      <c r="I577" s="4" t="str" cm="1">
        <f t="array" ref="I577">_xlfn.IFS(
  H577&lt;30,"Young Adult",
  H577&lt;50,"Adult",
  H577&gt;=50,"Senior"
)</f>
        <v>Adult</v>
      </c>
      <c r="J577" s="4" t="s">
        <v>16</v>
      </c>
      <c r="K577" s="4">
        <v>3</v>
      </c>
      <c r="L577" s="5">
        <v>50</v>
      </c>
      <c r="M577" s="5">
        <f xml:space="preserve"> K577*L577</f>
        <v>150</v>
      </c>
      <c r="N577" s="14">
        <f xml:space="preserve"> M577 * $Q$3</f>
        <v>2.25</v>
      </c>
      <c r="O577" s="5"/>
    </row>
    <row r="578" spans="1:15">
      <c r="A578" s="2">
        <v>577</v>
      </c>
      <c r="B578" s="4">
        <f>DAY(E578)</f>
        <v>13</v>
      </c>
      <c r="C578" s="4">
        <f>MONTH(E578)</f>
        <v>2</v>
      </c>
      <c r="D578" s="4">
        <f>YEAR(E578)</f>
        <v>2023</v>
      </c>
      <c r="E578" s="3">
        <v>44970</v>
      </c>
      <c r="F578" s="4" t="s">
        <v>600</v>
      </c>
      <c r="G578" s="4" t="s">
        <v>15</v>
      </c>
      <c r="H578" s="4">
        <v>21</v>
      </c>
      <c r="I578" s="4" t="str" cm="1">
        <f t="array" ref="I578">_xlfn.IFS(
  H578&lt;30,"Young Adult",
  H578&lt;50,"Adult",
  H578&gt;=50,"Senior"
)</f>
        <v>Young Adult</v>
      </c>
      <c r="J578" s="4" t="s">
        <v>16</v>
      </c>
      <c r="K578" s="4">
        <v>4</v>
      </c>
      <c r="L578" s="5">
        <v>500</v>
      </c>
      <c r="M578" s="5">
        <f xml:space="preserve"> K578*L578</f>
        <v>2000</v>
      </c>
      <c r="N578" s="14">
        <f xml:space="preserve"> M578 * $Q$3</f>
        <v>30</v>
      </c>
      <c r="O578" s="5"/>
    </row>
    <row r="579" spans="1:15">
      <c r="A579" s="2">
        <v>578</v>
      </c>
      <c r="B579" s="4">
        <f>DAY(E579)</f>
        <v>26</v>
      </c>
      <c r="C579" s="4">
        <f>MONTH(E579)</f>
        <v>5</v>
      </c>
      <c r="D579" s="4">
        <f>YEAR(E579)</f>
        <v>2023</v>
      </c>
      <c r="E579" s="17">
        <v>45072</v>
      </c>
      <c r="F579" s="4" t="s">
        <v>601</v>
      </c>
      <c r="G579" s="4" t="s">
        <v>19</v>
      </c>
      <c r="H579" s="4">
        <v>54</v>
      </c>
      <c r="I579" s="4" t="str" cm="1">
        <f t="array" ref="I579">_xlfn.IFS(
  H579&lt;30,"Young Adult",
  H579&lt;50,"Adult",
  H579&gt;=50,"Senior"
)</f>
        <v>Senior</v>
      </c>
      <c r="J579" s="4" t="s">
        <v>20</v>
      </c>
      <c r="K579" s="4">
        <v>4</v>
      </c>
      <c r="L579" s="5">
        <v>30</v>
      </c>
      <c r="M579" s="5">
        <f xml:space="preserve"> K579*L579</f>
        <v>120</v>
      </c>
      <c r="N579" s="14">
        <f xml:space="preserve"> M579 * $Q$3</f>
        <v>1.7999999999999998</v>
      </c>
      <c r="O579" s="5"/>
    </row>
    <row r="580" spans="1:15">
      <c r="A580" s="2">
        <v>579</v>
      </c>
      <c r="B580" s="4">
        <f>DAY(E580)</f>
        <v>21</v>
      </c>
      <c r="C580" s="4">
        <f>MONTH(E580)</f>
        <v>9</v>
      </c>
      <c r="D580" s="4">
        <f>YEAR(E580)</f>
        <v>2023</v>
      </c>
      <c r="E580" s="3">
        <v>45190</v>
      </c>
      <c r="F580" s="4" t="s">
        <v>602</v>
      </c>
      <c r="G580" s="4" t="s">
        <v>19</v>
      </c>
      <c r="H580" s="4">
        <v>38</v>
      </c>
      <c r="I580" s="4" t="str" cm="1">
        <f t="array" ref="I580">_xlfn.IFS(
  H580&lt;30,"Young Adult",
  H580&lt;50,"Adult",
  H580&gt;=50,"Senior"
)</f>
        <v>Adult</v>
      </c>
      <c r="J580" s="4" t="s">
        <v>23</v>
      </c>
      <c r="K580" s="4">
        <v>1</v>
      </c>
      <c r="L580" s="5">
        <v>30</v>
      </c>
      <c r="M580" s="5">
        <f xml:space="preserve"> K580*L580</f>
        <v>30</v>
      </c>
      <c r="N580" s="14">
        <f xml:space="preserve"> M580 * $Q$3</f>
        <v>0.44999999999999996</v>
      </c>
      <c r="O580" s="5"/>
    </row>
    <row r="581" spans="1:15">
      <c r="A581" s="2">
        <v>580</v>
      </c>
      <c r="B581" s="4">
        <f>DAY(E581)</f>
        <v>6</v>
      </c>
      <c r="C581" s="4">
        <f>MONTH(E581)</f>
        <v>12</v>
      </c>
      <c r="D581" s="4">
        <f>YEAR(E581)</f>
        <v>2023</v>
      </c>
      <c r="E581" s="3">
        <v>45266</v>
      </c>
      <c r="F581" s="4" t="s">
        <v>603</v>
      </c>
      <c r="G581" s="4" t="s">
        <v>19</v>
      </c>
      <c r="H581" s="4">
        <v>31</v>
      </c>
      <c r="I581" s="4" t="str" cm="1">
        <f t="array" ref="I581">_xlfn.IFS(
  H581&lt;30,"Young Adult",
  H581&lt;50,"Adult",
  H581&gt;=50,"Senior"
)</f>
        <v>Adult</v>
      </c>
      <c r="J581" s="4" t="s">
        <v>20</v>
      </c>
      <c r="K581" s="4">
        <v>3</v>
      </c>
      <c r="L581" s="5">
        <v>500</v>
      </c>
      <c r="M581" s="5">
        <f xml:space="preserve"> K581*L581</f>
        <v>1500</v>
      </c>
      <c r="N581" s="14">
        <f xml:space="preserve"> M581 * $Q$3</f>
        <v>22.5</v>
      </c>
      <c r="O581" s="5"/>
    </row>
    <row r="582" spans="1:15">
      <c r="A582" s="2">
        <v>581</v>
      </c>
      <c r="B582" s="4">
        <f>DAY(E582)</f>
        <v>21</v>
      </c>
      <c r="C582" s="4">
        <f>MONTH(E582)</f>
        <v>11</v>
      </c>
      <c r="D582" s="4">
        <f>YEAR(E582)</f>
        <v>2023</v>
      </c>
      <c r="E582" s="3">
        <v>45251</v>
      </c>
      <c r="F582" s="4" t="s">
        <v>604</v>
      </c>
      <c r="G582" s="4" t="s">
        <v>19</v>
      </c>
      <c r="H582" s="4">
        <v>48</v>
      </c>
      <c r="I582" s="4" t="str" cm="1">
        <f t="array" ref="I582">_xlfn.IFS(
  H582&lt;30,"Young Adult",
  H582&lt;50,"Adult",
  H582&gt;=50,"Senior"
)</f>
        <v>Adult</v>
      </c>
      <c r="J582" s="4" t="s">
        <v>16</v>
      </c>
      <c r="K582" s="4">
        <v>2</v>
      </c>
      <c r="L582" s="5">
        <v>30</v>
      </c>
      <c r="M582" s="5">
        <f xml:space="preserve"> K582*L582</f>
        <v>60</v>
      </c>
      <c r="N582" s="14">
        <f xml:space="preserve"> M582 * $Q$3</f>
        <v>0.89999999999999991</v>
      </c>
      <c r="O582" s="5"/>
    </row>
    <row r="583" spans="1:15">
      <c r="A583" s="2">
        <v>582</v>
      </c>
      <c r="B583" s="4">
        <f>DAY(E583)</f>
        <v>14</v>
      </c>
      <c r="C583" s="4">
        <f>MONTH(E583)</f>
        <v>11</v>
      </c>
      <c r="D583" s="4">
        <f>YEAR(E583)</f>
        <v>2023</v>
      </c>
      <c r="E583" s="3">
        <v>45244</v>
      </c>
      <c r="F583" s="4" t="s">
        <v>605</v>
      </c>
      <c r="G583" s="4" t="s">
        <v>15</v>
      </c>
      <c r="H583" s="4">
        <v>35</v>
      </c>
      <c r="I583" s="4" t="str" cm="1">
        <f t="array" ref="I583">_xlfn.IFS(
  H583&lt;30,"Young Adult",
  H583&lt;50,"Adult",
  H583&gt;=50,"Senior"
)</f>
        <v>Adult</v>
      </c>
      <c r="J583" s="4" t="s">
        <v>20</v>
      </c>
      <c r="K583" s="4">
        <v>3</v>
      </c>
      <c r="L583" s="5">
        <v>300</v>
      </c>
      <c r="M583" s="5">
        <f xml:space="preserve"> K583*L583</f>
        <v>900</v>
      </c>
      <c r="N583" s="14">
        <f xml:space="preserve"> M583 * $Q$3</f>
        <v>13.5</v>
      </c>
      <c r="O583" s="5"/>
    </row>
    <row r="584" spans="1:15">
      <c r="A584" s="2">
        <v>583</v>
      </c>
      <c r="B584" s="4">
        <f>DAY(E584)</f>
        <v>21</v>
      </c>
      <c r="C584" s="4">
        <f>MONTH(E584)</f>
        <v>6</v>
      </c>
      <c r="D584" s="4">
        <f>YEAR(E584)</f>
        <v>2023</v>
      </c>
      <c r="E584" s="3">
        <v>45098</v>
      </c>
      <c r="F584" s="4" t="s">
        <v>606</v>
      </c>
      <c r="G584" s="4" t="s">
        <v>19</v>
      </c>
      <c r="H584" s="4">
        <v>24</v>
      </c>
      <c r="I584" s="4" t="str" cm="1">
        <f t="array" ref="I584">_xlfn.IFS(
  H584&lt;30,"Young Adult",
  H584&lt;50,"Adult",
  H584&gt;=50,"Senior"
)</f>
        <v>Young Adult</v>
      </c>
      <c r="J584" s="4" t="s">
        <v>23</v>
      </c>
      <c r="K584" s="4">
        <v>4</v>
      </c>
      <c r="L584" s="5">
        <v>25</v>
      </c>
      <c r="M584" s="5">
        <f xml:space="preserve"> K584*L584</f>
        <v>100</v>
      </c>
      <c r="N584" s="14">
        <f xml:space="preserve"> M584 * $Q$3</f>
        <v>1.5</v>
      </c>
      <c r="O584" s="5"/>
    </row>
    <row r="585" spans="1:15">
      <c r="A585" s="2">
        <v>584</v>
      </c>
      <c r="B585" s="4">
        <f>DAY(E585)</f>
        <v>17</v>
      </c>
      <c r="C585" s="4">
        <f>MONTH(E585)</f>
        <v>2</v>
      </c>
      <c r="D585" s="4">
        <f>YEAR(E585)</f>
        <v>2023</v>
      </c>
      <c r="E585" s="3">
        <v>44974</v>
      </c>
      <c r="F585" s="4" t="s">
        <v>607</v>
      </c>
      <c r="G585" s="4" t="s">
        <v>19</v>
      </c>
      <c r="H585" s="4">
        <v>27</v>
      </c>
      <c r="I585" s="4" t="str" cm="1">
        <f t="array" ref="I585">_xlfn.IFS(
  H585&lt;30,"Young Adult",
  H585&lt;50,"Adult",
  H585&gt;=50,"Senior"
)</f>
        <v>Young Adult</v>
      </c>
      <c r="J585" s="4" t="s">
        <v>16</v>
      </c>
      <c r="K585" s="4">
        <v>4</v>
      </c>
      <c r="L585" s="5">
        <v>50</v>
      </c>
      <c r="M585" s="5">
        <f xml:space="preserve"> K585*L585</f>
        <v>200</v>
      </c>
      <c r="N585" s="14">
        <f xml:space="preserve"> M585 * $Q$3</f>
        <v>3</v>
      </c>
      <c r="O585" s="5"/>
    </row>
    <row r="586" spans="1:15">
      <c r="A586" s="2">
        <v>585</v>
      </c>
      <c r="B586" s="4">
        <f>DAY(E586)</f>
        <v>1</v>
      </c>
      <c r="C586" s="4">
        <f>MONTH(E586)</f>
        <v>5</v>
      </c>
      <c r="D586" s="4">
        <f>YEAR(E586)</f>
        <v>2023</v>
      </c>
      <c r="E586" s="17">
        <v>45047</v>
      </c>
      <c r="F586" s="4" t="s">
        <v>608</v>
      </c>
      <c r="G586" s="4" t="s">
        <v>19</v>
      </c>
      <c r="H586" s="4">
        <v>24</v>
      </c>
      <c r="I586" s="4" t="str" cm="1">
        <f t="array" ref="I586">_xlfn.IFS(
  H586&lt;30,"Young Adult",
  H586&lt;50,"Adult",
  H586&gt;=50,"Senior"
)</f>
        <v>Young Adult</v>
      </c>
      <c r="J586" s="4" t="s">
        <v>20</v>
      </c>
      <c r="K586" s="4">
        <v>1</v>
      </c>
      <c r="L586" s="5">
        <v>25</v>
      </c>
      <c r="M586" s="5">
        <f xml:space="preserve"> K586*L586</f>
        <v>25</v>
      </c>
      <c r="N586" s="14">
        <f xml:space="preserve"> M586 * $Q$3</f>
        <v>0.375</v>
      </c>
      <c r="O586" s="5"/>
    </row>
    <row r="587" spans="1:15">
      <c r="A587" s="2">
        <v>586</v>
      </c>
      <c r="B587" s="4">
        <f>DAY(E587)</f>
        <v>11</v>
      </c>
      <c r="C587" s="4">
        <f>MONTH(E587)</f>
        <v>12</v>
      </c>
      <c r="D587" s="4">
        <f>YEAR(E587)</f>
        <v>2023</v>
      </c>
      <c r="E587" s="3">
        <v>45271</v>
      </c>
      <c r="F587" s="4" t="s">
        <v>609</v>
      </c>
      <c r="G587" s="4" t="s">
        <v>15</v>
      </c>
      <c r="H587" s="4">
        <v>50</v>
      </c>
      <c r="I587" s="4" t="str" cm="1">
        <f t="array" ref="I587">_xlfn.IFS(
  H587&lt;30,"Young Adult",
  H587&lt;50,"Adult",
  H587&gt;=50,"Senior"
)</f>
        <v>Senior</v>
      </c>
      <c r="J587" s="4" t="s">
        <v>23</v>
      </c>
      <c r="K587" s="4">
        <v>1</v>
      </c>
      <c r="L587" s="5">
        <v>50</v>
      </c>
      <c r="M587" s="5">
        <f xml:space="preserve"> K587*L587</f>
        <v>50</v>
      </c>
      <c r="N587" s="14">
        <f xml:space="preserve"> M587 * $Q$3</f>
        <v>0.75</v>
      </c>
      <c r="O587" s="5"/>
    </row>
    <row r="588" spans="1:15">
      <c r="A588" s="2">
        <v>587</v>
      </c>
      <c r="B588" s="4">
        <f>DAY(E588)</f>
        <v>8</v>
      </c>
      <c r="C588" s="4">
        <f>MONTH(E588)</f>
        <v>6</v>
      </c>
      <c r="D588" s="4">
        <f>YEAR(E588)</f>
        <v>2023</v>
      </c>
      <c r="E588" s="3">
        <v>45085</v>
      </c>
      <c r="F588" s="4" t="s">
        <v>610</v>
      </c>
      <c r="G588" s="4" t="s">
        <v>19</v>
      </c>
      <c r="H588" s="4">
        <v>40</v>
      </c>
      <c r="I588" s="4" t="str" cm="1">
        <f t="array" ref="I588">_xlfn.IFS(
  H588&lt;30,"Young Adult",
  H588&lt;50,"Adult",
  H588&gt;=50,"Senior"
)</f>
        <v>Adult</v>
      </c>
      <c r="J588" s="4" t="s">
        <v>16</v>
      </c>
      <c r="K588" s="4">
        <v>4</v>
      </c>
      <c r="L588" s="5">
        <v>300</v>
      </c>
      <c r="M588" s="5">
        <f xml:space="preserve"> K588*L588</f>
        <v>1200</v>
      </c>
      <c r="N588" s="14">
        <f xml:space="preserve"> M588 * $Q$3</f>
        <v>18</v>
      </c>
      <c r="O588" s="5"/>
    </row>
    <row r="589" spans="1:15">
      <c r="A589" s="2">
        <v>588</v>
      </c>
      <c r="B589" s="4">
        <f>DAY(E589)</f>
        <v>26</v>
      </c>
      <c r="C589" s="4">
        <f>MONTH(E589)</f>
        <v>4</v>
      </c>
      <c r="D589" s="4">
        <f>YEAR(E589)</f>
        <v>2023</v>
      </c>
      <c r="E589" s="17">
        <v>45042</v>
      </c>
      <c r="F589" s="4" t="s">
        <v>611</v>
      </c>
      <c r="G589" s="4" t="s">
        <v>15</v>
      </c>
      <c r="H589" s="4">
        <v>38</v>
      </c>
      <c r="I589" s="4" t="str" cm="1">
        <f t="array" ref="I589">_xlfn.IFS(
  H589&lt;30,"Young Adult",
  H589&lt;50,"Adult",
  H589&gt;=50,"Senior"
)</f>
        <v>Adult</v>
      </c>
      <c r="J589" s="4" t="s">
        <v>23</v>
      </c>
      <c r="K589" s="4">
        <v>2</v>
      </c>
      <c r="L589" s="5">
        <v>30</v>
      </c>
      <c r="M589" s="5">
        <f xml:space="preserve"> K589*L589</f>
        <v>60</v>
      </c>
      <c r="N589" s="14">
        <f xml:space="preserve"> M589 * $Q$3</f>
        <v>0.89999999999999991</v>
      </c>
      <c r="O589" s="5"/>
    </row>
    <row r="590" spans="1:15">
      <c r="A590" s="2">
        <v>589</v>
      </c>
      <c r="B590" s="4">
        <f>DAY(E590)</f>
        <v>12</v>
      </c>
      <c r="C590" s="4">
        <f>MONTH(E590)</f>
        <v>4</v>
      </c>
      <c r="D590" s="4">
        <f>YEAR(E590)</f>
        <v>2023</v>
      </c>
      <c r="E590" s="17">
        <v>45028</v>
      </c>
      <c r="F590" s="4" t="s">
        <v>612</v>
      </c>
      <c r="G590" s="4" t="s">
        <v>19</v>
      </c>
      <c r="H590" s="4">
        <v>36</v>
      </c>
      <c r="I590" s="4" t="str" cm="1">
        <f t="array" ref="I590">_xlfn.IFS(
  H590&lt;30,"Young Adult",
  H590&lt;50,"Adult",
  H590&gt;=50,"Senior"
)</f>
        <v>Adult</v>
      </c>
      <c r="J590" s="4" t="s">
        <v>16</v>
      </c>
      <c r="K590" s="4">
        <v>2</v>
      </c>
      <c r="L590" s="5">
        <v>500</v>
      </c>
      <c r="M590" s="5">
        <f xml:space="preserve"> K590*L590</f>
        <v>1000</v>
      </c>
      <c r="N590" s="14">
        <f xml:space="preserve"> M590 * $Q$3</f>
        <v>15</v>
      </c>
      <c r="O590" s="5"/>
    </row>
    <row r="591" spans="1:15">
      <c r="A591" s="2">
        <v>590</v>
      </c>
      <c r="B591" s="4">
        <f>DAY(E591)</f>
        <v>17</v>
      </c>
      <c r="C591" s="4">
        <f>MONTH(E591)</f>
        <v>3</v>
      </c>
      <c r="D591" s="4">
        <f>YEAR(E591)</f>
        <v>2023</v>
      </c>
      <c r="E591" s="17">
        <v>45002</v>
      </c>
      <c r="F591" s="4" t="s">
        <v>613</v>
      </c>
      <c r="G591" s="4" t="s">
        <v>15</v>
      </c>
      <c r="H591" s="4">
        <v>36</v>
      </c>
      <c r="I591" s="4" t="str" cm="1">
        <f t="array" ref="I591">_xlfn.IFS(
  H591&lt;30,"Young Adult",
  H591&lt;50,"Adult",
  H591&gt;=50,"Senior"
)</f>
        <v>Adult</v>
      </c>
      <c r="J591" s="4" t="s">
        <v>20</v>
      </c>
      <c r="K591" s="4">
        <v>3</v>
      </c>
      <c r="L591" s="5">
        <v>300</v>
      </c>
      <c r="M591" s="5">
        <f xml:space="preserve"> K591*L591</f>
        <v>900</v>
      </c>
      <c r="N591" s="14">
        <f xml:space="preserve"> M591 * $Q$3</f>
        <v>13.5</v>
      </c>
      <c r="O591" s="5"/>
    </row>
    <row r="592" spans="1:15">
      <c r="A592" s="2">
        <v>591</v>
      </c>
      <c r="B592" s="4">
        <f>DAY(E592)</f>
        <v>13</v>
      </c>
      <c r="C592" s="4">
        <f>MONTH(E592)</f>
        <v>1</v>
      </c>
      <c r="D592" s="4">
        <f>YEAR(E592)</f>
        <v>2023</v>
      </c>
      <c r="E592" s="3">
        <v>44939</v>
      </c>
      <c r="F592" s="4" t="s">
        <v>614</v>
      </c>
      <c r="G592" s="4" t="s">
        <v>15</v>
      </c>
      <c r="H592" s="4">
        <v>53</v>
      </c>
      <c r="I592" s="4" t="str" cm="1">
        <f t="array" ref="I592">_xlfn.IFS(
  H592&lt;30,"Young Adult",
  H592&lt;50,"Adult",
  H592&gt;=50,"Senior"
)</f>
        <v>Senior</v>
      </c>
      <c r="J592" s="4" t="s">
        <v>23</v>
      </c>
      <c r="K592" s="4">
        <v>4</v>
      </c>
      <c r="L592" s="5">
        <v>25</v>
      </c>
      <c r="M592" s="5">
        <f xml:space="preserve"> K592*L592</f>
        <v>100</v>
      </c>
      <c r="N592" s="14">
        <f xml:space="preserve"> M592 * $Q$3</f>
        <v>1.5</v>
      </c>
      <c r="O592" s="5"/>
    </row>
    <row r="593" spans="1:15">
      <c r="A593" s="2">
        <v>592</v>
      </c>
      <c r="B593" s="4">
        <f>DAY(E593)</f>
        <v>24</v>
      </c>
      <c r="C593" s="4">
        <f>MONTH(E593)</f>
        <v>1</v>
      </c>
      <c r="D593" s="4">
        <f>YEAR(E593)</f>
        <v>2023</v>
      </c>
      <c r="E593" s="3">
        <v>44950</v>
      </c>
      <c r="F593" s="4" t="s">
        <v>615</v>
      </c>
      <c r="G593" s="4" t="s">
        <v>19</v>
      </c>
      <c r="H593" s="4">
        <v>46</v>
      </c>
      <c r="I593" s="4" t="str" cm="1">
        <f t="array" ref="I593">_xlfn.IFS(
  H593&lt;30,"Young Adult",
  H593&lt;50,"Adult",
  H593&gt;=50,"Senior"
)</f>
        <v>Adult</v>
      </c>
      <c r="J593" s="4" t="s">
        <v>16</v>
      </c>
      <c r="K593" s="4">
        <v>4</v>
      </c>
      <c r="L593" s="5">
        <v>500</v>
      </c>
      <c r="M593" s="5">
        <f xml:space="preserve"> K593*L593</f>
        <v>2000</v>
      </c>
      <c r="N593" s="14">
        <f xml:space="preserve"> M593 * $Q$3</f>
        <v>30</v>
      </c>
      <c r="O593" s="5"/>
    </row>
    <row r="594" spans="1:15">
      <c r="A594" s="2">
        <v>593</v>
      </c>
      <c r="B594" s="4">
        <f>DAY(E594)</f>
        <v>6</v>
      </c>
      <c r="C594" s="4">
        <f>MONTH(E594)</f>
        <v>5</v>
      </c>
      <c r="D594" s="4">
        <f>YEAR(E594)</f>
        <v>2023</v>
      </c>
      <c r="E594" s="17">
        <v>45052</v>
      </c>
      <c r="F594" s="4" t="s">
        <v>616</v>
      </c>
      <c r="G594" s="4" t="s">
        <v>15</v>
      </c>
      <c r="H594" s="4">
        <v>35</v>
      </c>
      <c r="I594" s="4" t="str" cm="1">
        <f t="array" ref="I594">_xlfn.IFS(
  H594&lt;30,"Young Adult",
  H594&lt;50,"Adult",
  H594&gt;=50,"Senior"
)</f>
        <v>Adult</v>
      </c>
      <c r="J594" s="4" t="s">
        <v>23</v>
      </c>
      <c r="K594" s="4">
        <v>2</v>
      </c>
      <c r="L594" s="5">
        <v>30</v>
      </c>
      <c r="M594" s="5">
        <f xml:space="preserve"> K594*L594</f>
        <v>60</v>
      </c>
      <c r="N594" s="14">
        <f xml:space="preserve"> M594 * $Q$3</f>
        <v>0.89999999999999991</v>
      </c>
      <c r="O594" s="5"/>
    </row>
    <row r="595" spans="1:15">
      <c r="A595" s="2">
        <v>594</v>
      </c>
      <c r="B595" s="4">
        <f>DAY(E595)</f>
        <v>1</v>
      </c>
      <c r="C595" s="4">
        <f>MONTH(E595)</f>
        <v>9</v>
      </c>
      <c r="D595" s="4">
        <f>YEAR(E595)</f>
        <v>2023</v>
      </c>
      <c r="E595" s="3">
        <v>45170</v>
      </c>
      <c r="F595" s="4" t="s">
        <v>617</v>
      </c>
      <c r="G595" s="4" t="s">
        <v>19</v>
      </c>
      <c r="H595" s="4">
        <v>19</v>
      </c>
      <c r="I595" s="4" t="str" cm="1">
        <f t="array" ref="I595">_xlfn.IFS(
  H595&lt;30,"Young Adult",
  H595&lt;50,"Adult",
  H595&gt;=50,"Senior"
)</f>
        <v>Young Adult</v>
      </c>
      <c r="J595" s="4" t="s">
        <v>23</v>
      </c>
      <c r="K595" s="4">
        <v>2</v>
      </c>
      <c r="L595" s="5">
        <v>300</v>
      </c>
      <c r="M595" s="5">
        <f xml:space="preserve"> K595*L595</f>
        <v>600</v>
      </c>
      <c r="N595" s="14">
        <f xml:space="preserve"> M595 * $Q$3</f>
        <v>9</v>
      </c>
      <c r="O595" s="5"/>
    </row>
    <row r="596" spans="1:15">
      <c r="A596" s="2">
        <v>595</v>
      </c>
      <c r="B596" s="4">
        <f>DAY(E596)</f>
        <v>9</v>
      </c>
      <c r="C596" s="4">
        <f>MONTH(E596)</f>
        <v>11</v>
      </c>
      <c r="D596" s="4">
        <f>YEAR(E596)</f>
        <v>2023</v>
      </c>
      <c r="E596" s="3">
        <v>45239</v>
      </c>
      <c r="F596" s="4" t="s">
        <v>618</v>
      </c>
      <c r="G596" s="4" t="s">
        <v>19</v>
      </c>
      <c r="H596" s="4">
        <v>18</v>
      </c>
      <c r="I596" s="4" t="str" cm="1">
        <f t="array" ref="I596">_xlfn.IFS(
  H596&lt;30,"Young Adult",
  H596&lt;50,"Adult",
  H596&gt;=50,"Senior"
)</f>
        <v>Young Adult</v>
      </c>
      <c r="J596" s="4" t="s">
        <v>20</v>
      </c>
      <c r="K596" s="4">
        <v>4</v>
      </c>
      <c r="L596" s="5">
        <v>500</v>
      </c>
      <c r="M596" s="5">
        <f xml:space="preserve"> K596*L596</f>
        <v>2000</v>
      </c>
      <c r="N596" s="14">
        <f xml:space="preserve"> M596 * $Q$3</f>
        <v>30</v>
      </c>
      <c r="O596" s="5"/>
    </row>
    <row r="597" spans="1:15">
      <c r="A597" s="2">
        <v>596</v>
      </c>
      <c r="B597" s="4">
        <f>DAY(E597)</f>
        <v>7</v>
      </c>
      <c r="C597" s="4">
        <f>MONTH(E597)</f>
        <v>2</v>
      </c>
      <c r="D597" s="4">
        <f>YEAR(E597)</f>
        <v>2023</v>
      </c>
      <c r="E597" s="3">
        <v>44964</v>
      </c>
      <c r="F597" s="4" t="s">
        <v>619</v>
      </c>
      <c r="G597" s="4" t="s">
        <v>19</v>
      </c>
      <c r="H597" s="4">
        <v>64</v>
      </c>
      <c r="I597" s="4" t="str" cm="1">
        <f t="array" ref="I597">_xlfn.IFS(
  H597&lt;30,"Young Adult",
  H597&lt;50,"Adult",
  H597&gt;=50,"Senior"
)</f>
        <v>Senior</v>
      </c>
      <c r="J597" s="4" t="s">
        <v>23</v>
      </c>
      <c r="K597" s="4">
        <v>1</v>
      </c>
      <c r="L597" s="5">
        <v>300</v>
      </c>
      <c r="M597" s="5">
        <f xml:space="preserve"> K597*L597</f>
        <v>300</v>
      </c>
      <c r="N597" s="14">
        <f xml:space="preserve"> M597 * $Q$3</f>
        <v>4.5</v>
      </c>
      <c r="O597" s="5"/>
    </row>
    <row r="598" spans="1:15">
      <c r="A598" s="2">
        <v>597</v>
      </c>
      <c r="B598" s="4">
        <f>DAY(E598)</f>
        <v>22</v>
      </c>
      <c r="C598" s="4">
        <f>MONTH(E598)</f>
        <v>8</v>
      </c>
      <c r="D598" s="4">
        <f>YEAR(E598)</f>
        <v>2023</v>
      </c>
      <c r="E598" s="3">
        <v>45160</v>
      </c>
      <c r="F598" s="4" t="s">
        <v>620</v>
      </c>
      <c r="G598" s="4" t="s">
        <v>15</v>
      </c>
      <c r="H598" s="4">
        <v>22</v>
      </c>
      <c r="I598" s="4" t="str" cm="1">
        <f t="array" ref="I598">_xlfn.IFS(
  H598&lt;30,"Young Adult",
  H598&lt;50,"Adult",
  H598&gt;=50,"Senior"
)</f>
        <v>Young Adult</v>
      </c>
      <c r="J598" s="4" t="s">
        <v>16</v>
      </c>
      <c r="K598" s="4">
        <v>4</v>
      </c>
      <c r="L598" s="5">
        <v>300</v>
      </c>
      <c r="M598" s="5">
        <f xml:space="preserve"> K598*L598</f>
        <v>1200</v>
      </c>
      <c r="N598" s="14">
        <f xml:space="preserve"> M598 * $Q$3</f>
        <v>18</v>
      </c>
      <c r="O598" s="5"/>
    </row>
    <row r="599" spans="1:15">
      <c r="A599" s="2">
        <v>598</v>
      </c>
      <c r="B599" s="4">
        <f>DAY(E599)</f>
        <v>1</v>
      </c>
      <c r="C599" s="4">
        <f>MONTH(E599)</f>
        <v>8</v>
      </c>
      <c r="D599" s="4">
        <f>YEAR(E599)</f>
        <v>2023</v>
      </c>
      <c r="E599" s="3">
        <v>45139</v>
      </c>
      <c r="F599" s="4" t="s">
        <v>621</v>
      </c>
      <c r="G599" s="4" t="s">
        <v>15</v>
      </c>
      <c r="H599" s="4">
        <v>37</v>
      </c>
      <c r="I599" s="4" t="str" cm="1">
        <f t="array" ref="I599">_xlfn.IFS(
  H599&lt;30,"Young Adult",
  H599&lt;50,"Adult",
  H599&gt;=50,"Senior"
)</f>
        <v>Adult</v>
      </c>
      <c r="J599" s="4" t="s">
        <v>16</v>
      </c>
      <c r="K599" s="4">
        <v>4</v>
      </c>
      <c r="L599" s="5">
        <v>30</v>
      </c>
      <c r="M599" s="5">
        <f xml:space="preserve"> K599*L599</f>
        <v>120</v>
      </c>
      <c r="N599" s="14">
        <f xml:space="preserve"> M599 * $Q$3</f>
        <v>1.7999999999999998</v>
      </c>
      <c r="O599" s="5"/>
    </row>
    <row r="600" spans="1:15">
      <c r="A600" s="2">
        <v>599</v>
      </c>
      <c r="B600" s="4">
        <f>DAY(E600)</f>
        <v>19</v>
      </c>
      <c r="C600" s="4">
        <f>MONTH(E600)</f>
        <v>11</v>
      </c>
      <c r="D600" s="4">
        <f>YEAR(E600)</f>
        <v>2023</v>
      </c>
      <c r="E600" s="3">
        <v>45249</v>
      </c>
      <c r="F600" s="4" t="s">
        <v>622</v>
      </c>
      <c r="G600" s="4" t="s">
        <v>19</v>
      </c>
      <c r="H600" s="4">
        <v>28</v>
      </c>
      <c r="I600" s="4" t="str" cm="1">
        <f t="array" ref="I600">_xlfn.IFS(
  H600&lt;30,"Young Adult",
  H600&lt;50,"Adult",
  H600&gt;=50,"Senior"
)</f>
        <v>Young Adult</v>
      </c>
      <c r="J600" s="4" t="s">
        <v>16</v>
      </c>
      <c r="K600" s="4">
        <v>2</v>
      </c>
      <c r="L600" s="5">
        <v>50</v>
      </c>
      <c r="M600" s="5">
        <f xml:space="preserve"> K600*L600</f>
        <v>100</v>
      </c>
      <c r="N600" s="14">
        <f xml:space="preserve"> M600 * $Q$3</f>
        <v>1.5</v>
      </c>
      <c r="O600" s="5"/>
    </row>
    <row r="601" spans="1:15">
      <c r="A601" s="2">
        <v>600</v>
      </c>
      <c r="B601" s="4">
        <f>DAY(E601)</f>
        <v>22</v>
      </c>
      <c r="C601" s="4">
        <f>MONTH(E601)</f>
        <v>10</v>
      </c>
      <c r="D601" s="4">
        <f>YEAR(E601)</f>
        <v>2023</v>
      </c>
      <c r="E601" s="3">
        <v>45221</v>
      </c>
      <c r="F601" s="4" t="s">
        <v>623</v>
      </c>
      <c r="G601" s="4" t="s">
        <v>19</v>
      </c>
      <c r="H601" s="4">
        <v>59</v>
      </c>
      <c r="I601" s="4" t="str" cm="1">
        <f t="array" ref="I601">_xlfn.IFS(
  H601&lt;30,"Young Adult",
  H601&lt;50,"Adult",
  H601&gt;=50,"Senior"
)</f>
        <v>Senior</v>
      </c>
      <c r="J601" s="4" t="s">
        <v>16</v>
      </c>
      <c r="K601" s="4">
        <v>2</v>
      </c>
      <c r="L601" s="5">
        <v>500</v>
      </c>
      <c r="M601" s="5">
        <f xml:space="preserve"> K601*L601</f>
        <v>1000</v>
      </c>
      <c r="N601" s="14">
        <f xml:space="preserve"> M601 * $Q$3</f>
        <v>15</v>
      </c>
      <c r="O601" s="5"/>
    </row>
    <row r="602" spans="1:15">
      <c r="A602" s="2">
        <v>601</v>
      </c>
      <c r="B602" s="4">
        <f>DAY(E602)</f>
        <v>10</v>
      </c>
      <c r="C602" s="4">
        <f>MONTH(E602)</f>
        <v>4</v>
      </c>
      <c r="D602" s="4">
        <f>YEAR(E602)</f>
        <v>2023</v>
      </c>
      <c r="E602" s="17">
        <v>45026</v>
      </c>
      <c r="F602" s="4" t="s">
        <v>624</v>
      </c>
      <c r="G602" s="4" t="s">
        <v>15</v>
      </c>
      <c r="H602" s="4">
        <v>19</v>
      </c>
      <c r="I602" s="4" t="str" cm="1">
        <f t="array" ref="I602">_xlfn.IFS(
  H602&lt;30,"Young Adult",
  H602&lt;50,"Adult",
  H602&gt;=50,"Senior"
)</f>
        <v>Young Adult</v>
      </c>
      <c r="J602" s="4" t="s">
        <v>20</v>
      </c>
      <c r="K602" s="4">
        <v>1</v>
      </c>
      <c r="L602" s="5">
        <v>30</v>
      </c>
      <c r="M602" s="5">
        <f xml:space="preserve"> K602*L602</f>
        <v>30</v>
      </c>
      <c r="N602" s="14">
        <f xml:space="preserve"> M602 * $Q$3</f>
        <v>0.44999999999999996</v>
      </c>
      <c r="O602" s="5"/>
    </row>
    <row r="603" spans="1:15">
      <c r="A603" s="2">
        <v>602</v>
      </c>
      <c r="B603" s="4">
        <f>DAY(E603)</f>
        <v>23</v>
      </c>
      <c r="C603" s="4">
        <f>MONTH(E603)</f>
        <v>12</v>
      </c>
      <c r="D603" s="4">
        <f>YEAR(E603)</f>
        <v>2023</v>
      </c>
      <c r="E603" s="3">
        <v>45283</v>
      </c>
      <c r="F603" s="4" t="s">
        <v>625</v>
      </c>
      <c r="G603" s="4" t="s">
        <v>19</v>
      </c>
      <c r="H603" s="4">
        <v>20</v>
      </c>
      <c r="I603" s="4" t="str" cm="1">
        <f t="array" ref="I603">_xlfn.IFS(
  H603&lt;30,"Young Adult",
  H603&lt;50,"Adult",
  H603&gt;=50,"Senior"
)</f>
        <v>Young Adult</v>
      </c>
      <c r="J603" s="4" t="s">
        <v>23</v>
      </c>
      <c r="K603" s="4">
        <v>1</v>
      </c>
      <c r="L603" s="5">
        <v>300</v>
      </c>
      <c r="M603" s="5">
        <f xml:space="preserve"> K603*L603</f>
        <v>300</v>
      </c>
      <c r="N603" s="14">
        <f xml:space="preserve"> M603 * $Q$3</f>
        <v>4.5</v>
      </c>
      <c r="O603" s="5"/>
    </row>
    <row r="604" spans="1:15">
      <c r="A604" s="2">
        <v>603</v>
      </c>
      <c r="B604" s="4">
        <f>DAY(E604)</f>
        <v>16</v>
      </c>
      <c r="C604" s="4">
        <f>MONTH(E604)</f>
        <v>7</v>
      </c>
      <c r="D604" s="4">
        <f>YEAR(E604)</f>
        <v>2023</v>
      </c>
      <c r="E604" s="3">
        <v>45123</v>
      </c>
      <c r="F604" s="4" t="s">
        <v>626</v>
      </c>
      <c r="G604" s="4" t="s">
        <v>19</v>
      </c>
      <c r="H604" s="4">
        <v>40</v>
      </c>
      <c r="I604" s="4" t="str" cm="1">
        <f t="array" ref="I604">_xlfn.IFS(
  H604&lt;30,"Young Adult",
  H604&lt;50,"Adult",
  H604&gt;=50,"Senior"
)</f>
        <v>Adult</v>
      </c>
      <c r="J604" s="4" t="s">
        <v>20</v>
      </c>
      <c r="K604" s="4">
        <v>3</v>
      </c>
      <c r="L604" s="5">
        <v>30</v>
      </c>
      <c r="M604" s="5">
        <f xml:space="preserve"> K604*L604</f>
        <v>90</v>
      </c>
      <c r="N604" s="14">
        <f xml:space="preserve"> M604 * $Q$3</f>
        <v>1.3499999999999999</v>
      </c>
      <c r="O604" s="5"/>
    </row>
    <row r="605" spans="1:15">
      <c r="A605" s="2">
        <v>604</v>
      </c>
      <c r="B605" s="4">
        <f>DAY(E605)</f>
        <v>11</v>
      </c>
      <c r="C605" s="4">
        <f>MONTH(E605)</f>
        <v>9</v>
      </c>
      <c r="D605" s="4">
        <f>YEAR(E605)</f>
        <v>2023</v>
      </c>
      <c r="E605" s="3">
        <v>45180</v>
      </c>
      <c r="F605" s="4" t="s">
        <v>627</v>
      </c>
      <c r="G605" s="4" t="s">
        <v>19</v>
      </c>
      <c r="H605" s="4">
        <v>29</v>
      </c>
      <c r="I605" s="4" t="str" cm="1">
        <f t="array" ref="I605">_xlfn.IFS(
  H605&lt;30,"Young Adult",
  H605&lt;50,"Adult",
  H605&gt;=50,"Senior"
)</f>
        <v>Young Adult</v>
      </c>
      <c r="J605" s="4" t="s">
        <v>23</v>
      </c>
      <c r="K605" s="4">
        <v>4</v>
      </c>
      <c r="L605" s="5">
        <v>50</v>
      </c>
      <c r="M605" s="5">
        <f xml:space="preserve"> K605*L605</f>
        <v>200</v>
      </c>
      <c r="N605" s="14">
        <f xml:space="preserve"> M605 * $Q$3</f>
        <v>3</v>
      </c>
      <c r="O605" s="5"/>
    </row>
    <row r="606" spans="1:15">
      <c r="A606" s="2">
        <v>605</v>
      </c>
      <c r="B606" s="4">
        <f>DAY(E606)</f>
        <v>24</v>
      </c>
      <c r="C606" s="4">
        <f>MONTH(E606)</f>
        <v>7</v>
      </c>
      <c r="D606" s="4">
        <f>YEAR(E606)</f>
        <v>2023</v>
      </c>
      <c r="E606" s="3">
        <v>45131</v>
      </c>
      <c r="F606" s="4" t="s">
        <v>628</v>
      </c>
      <c r="G606" s="4" t="s">
        <v>15</v>
      </c>
      <c r="H606" s="4">
        <v>37</v>
      </c>
      <c r="I606" s="4" t="str" cm="1">
        <f t="array" ref="I606">_xlfn.IFS(
  H606&lt;30,"Young Adult",
  H606&lt;50,"Adult",
  H606&gt;=50,"Senior"
)</f>
        <v>Adult</v>
      </c>
      <c r="J606" s="4" t="s">
        <v>23</v>
      </c>
      <c r="K606" s="4">
        <v>2</v>
      </c>
      <c r="L606" s="5">
        <v>500</v>
      </c>
      <c r="M606" s="5">
        <f xml:space="preserve"> K606*L606</f>
        <v>1000</v>
      </c>
      <c r="N606" s="14">
        <f xml:space="preserve"> M606 * $Q$3</f>
        <v>15</v>
      </c>
      <c r="O606" s="5"/>
    </row>
    <row r="607" spans="1:15">
      <c r="A607" s="2">
        <v>606</v>
      </c>
      <c r="B607" s="4">
        <f>DAY(E607)</f>
        <v>5</v>
      </c>
      <c r="C607" s="4">
        <f>MONTH(E607)</f>
        <v>5</v>
      </c>
      <c r="D607" s="4">
        <f>YEAR(E607)</f>
        <v>2023</v>
      </c>
      <c r="E607" s="17">
        <v>45051</v>
      </c>
      <c r="F607" s="4" t="s">
        <v>629</v>
      </c>
      <c r="G607" s="4" t="s">
        <v>15</v>
      </c>
      <c r="H607" s="4">
        <v>22</v>
      </c>
      <c r="I607" s="4" t="str" cm="1">
        <f t="array" ref="I607">_xlfn.IFS(
  H607&lt;30,"Young Adult",
  H607&lt;50,"Adult",
  H607&gt;=50,"Senior"
)</f>
        <v>Young Adult</v>
      </c>
      <c r="J607" s="4" t="s">
        <v>23</v>
      </c>
      <c r="K607" s="4">
        <v>1</v>
      </c>
      <c r="L607" s="5">
        <v>50</v>
      </c>
      <c r="M607" s="5">
        <f xml:space="preserve"> K607*L607</f>
        <v>50</v>
      </c>
      <c r="N607" s="14">
        <f xml:space="preserve"> M607 * $Q$3</f>
        <v>0.75</v>
      </c>
      <c r="O607" s="5"/>
    </row>
    <row r="608" spans="1:15">
      <c r="A608" s="2">
        <v>607</v>
      </c>
      <c r="B608" s="4">
        <f>DAY(E608)</f>
        <v>17</v>
      </c>
      <c r="C608" s="4">
        <f>MONTH(E608)</f>
        <v>3</v>
      </c>
      <c r="D608" s="4">
        <f>YEAR(E608)</f>
        <v>2023</v>
      </c>
      <c r="E608" s="17">
        <v>45002</v>
      </c>
      <c r="F608" s="4" t="s">
        <v>630</v>
      </c>
      <c r="G608" s="4" t="s">
        <v>15</v>
      </c>
      <c r="H608" s="4">
        <v>54</v>
      </c>
      <c r="I608" s="4" t="str" cm="1">
        <f t="array" ref="I608">_xlfn.IFS(
  H608&lt;30,"Young Adult",
  H608&lt;50,"Adult",
  H608&gt;=50,"Senior"
)</f>
        <v>Senior</v>
      </c>
      <c r="J608" s="4" t="s">
        <v>20</v>
      </c>
      <c r="K608" s="4">
        <v>3</v>
      </c>
      <c r="L608" s="5">
        <v>25</v>
      </c>
      <c r="M608" s="5">
        <f xml:space="preserve"> K608*L608</f>
        <v>75</v>
      </c>
      <c r="N608" s="14">
        <f xml:space="preserve"> M608 * $Q$3</f>
        <v>1.125</v>
      </c>
      <c r="O608" s="5"/>
    </row>
    <row r="609" spans="1:15">
      <c r="A609" s="2">
        <v>608</v>
      </c>
      <c r="B609" s="4">
        <f>DAY(E609)</f>
        <v>2</v>
      </c>
      <c r="C609" s="4">
        <f>MONTH(E609)</f>
        <v>12</v>
      </c>
      <c r="D609" s="4">
        <f>YEAR(E609)</f>
        <v>2023</v>
      </c>
      <c r="E609" s="3">
        <v>45262</v>
      </c>
      <c r="F609" s="4" t="s">
        <v>631</v>
      </c>
      <c r="G609" s="4" t="s">
        <v>19</v>
      </c>
      <c r="H609" s="4">
        <v>55</v>
      </c>
      <c r="I609" s="4" t="str" cm="1">
        <f t="array" ref="I609">_xlfn.IFS(
  H609&lt;30,"Young Adult",
  H609&lt;50,"Adult",
  H609&gt;=50,"Senior"
)</f>
        <v>Senior</v>
      </c>
      <c r="J609" s="4" t="s">
        <v>23</v>
      </c>
      <c r="K609" s="4">
        <v>3</v>
      </c>
      <c r="L609" s="5">
        <v>500</v>
      </c>
      <c r="M609" s="5">
        <f xml:space="preserve"> K609*L609</f>
        <v>1500</v>
      </c>
      <c r="N609" s="14">
        <f xml:space="preserve"> M609 * $Q$3</f>
        <v>22.5</v>
      </c>
      <c r="O609" s="5"/>
    </row>
    <row r="610" spans="1:15">
      <c r="A610" s="2">
        <v>609</v>
      </c>
      <c r="B610" s="4">
        <f>DAY(E610)</f>
        <v>19</v>
      </c>
      <c r="C610" s="4">
        <f>MONTH(E610)</f>
        <v>12</v>
      </c>
      <c r="D610" s="4">
        <f>YEAR(E610)</f>
        <v>2023</v>
      </c>
      <c r="E610" s="3">
        <v>45279</v>
      </c>
      <c r="F610" s="4" t="s">
        <v>632</v>
      </c>
      <c r="G610" s="4" t="s">
        <v>19</v>
      </c>
      <c r="H610" s="4">
        <v>47</v>
      </c>
      <c r="I610" s="4" t="str" cm="1">
        <f t="array" ref="I610">_xlfn.IFS(
  H610&lt;30,"Young Adult",
  H610&lt;50,"Adult",
  H610&gt;=50,"Senior"
)</f>
        <v>Adult</v>
      </c>
      <c r="J610" s="4" t="s">
        <v>20</v>
      </c>
      <c r="K610" s="4">
        <v>2</v>
      </c>
      <c r="L610" s="5">
        <v>50</v>
      </c>
      <c r="M610" s="5">
        <f xml:space="preserve"> K610*L610</f>
        <v>100</v>
      </c>
      <c r="N610" s="14">
        <f xml:space="preserve"> M610 * $Q$3</f>
        <v>1.5</v>
      </c>
      <c r="O610" s="5"/>
    </row>
    <row r="611" spans="1:15">
      <c r="A611" s="2">
        <v>610</v>
      </c>
      <c r="B611" s="4">
        <f>DAY(E611)</f>
        <v>3</v>
      </c>
      <c r="C611" s="4">
        <f>MONTH(E611)</f>
        <v>1</v>
      </c>
      <c r="D611" s="4">
        <f>YEAR(E611)</f>
        <v>2023</v>
      </c>
      <c r="E611" s="3">
        <v>44929</v>
      </c>
      <c r="F611" s="4" t="s">
        <v>633</v>
      </c>
      <c r="G611" s="4" t="s">
        <v>19</v>
      </c>
      <c r="H611" s="4">
        <v>26</v>
      </c>
      <c r="I611" s="4" t="str" cm="1">
        <f t="array" ref="I611">_xlfn.IFS(
  H611&lt;30,"Young Adult",
  H611&lt;50,"Adult",
  H611&gt;=50,"Senior"
)</f>
        <v>Young Adult</v>
      </c>
      <c r="J611" s="4" t="s">
        <v>16</v>
      </c>
      <c r="K611" s="4">
        <v>2</v>
      </c>
      <c r="L611" s="5">
        <v>300</v>
      </c>
      <c r="M611" s="5">
        <f xml:space="preserve"> K611*L611</f>
        <v>600</v>
      </c>
      <c r="N611" s="14">
        <f xml:space="preserve"> M611 * $Q$3</f>
        <v>9</v>
      </c>
      <c r="O611" s="5"/>
    </row>
    <row r="612" spans="1:15">
      <c r="A612" s="2">
        <v>611</v>
      </c>
      <c r="B612" s="4">
        <f>DAY(E612)</f>
        <v>24</v>
      </c>
      <c r="C612" s="4">
        <f>MONTH(E612)</f>
        <v>2</v>
      </c>
      <c r="D612" s="4">
        <f>YEAR(E612)</f>
        <v>2023</v>
      </c>
      <c r="E612" s="3">
        <v>44981</v>
      </c>
      <c r="F612" s="4" t="s">
        <v>634</v>
      </c>
      <c r="G612" s="4" t="s">
        <v>15</v>
      </c>
      <c r="H612" s="4">
        <v>51</v>
      </c>
      <c r="I612" s="4" t="str" cm="1">
        <f t="array" ref="I612">_xlfn.IFS(
  H612&lt;30,"Young Adult",
  H612&lt;50,"Adult",
  H612&gt;=50,"Senior"
)</f>
        <v>Senior</v>
      </c>
      <c r="J612" s="4" t="s">
        <v>16</v>
      </c>
      <c r="K612" s="4">
        <v>3</v>
      </c>
      <c r="L612" s="5">
        <v>500</v>
      </c>
      <c r="M612" s="5">
        <f xml:space="preserve"> K612*L612</f>
        <v>1500</v>
      </c>
      <c r="N612" s="14">
        <f xml:space="preserve"> M612 * $Q$3</f>
        <v>22.5</v>
      </c>
      <c r="O612" s="5"/>
    </row>
    <row r="613" spans="1:15">
      <c r="A613" s="2">
        <v>612</v>
      </c>
      <c r="B613" s="4">
        <f>DAY(E613)</f>
        <v>6</v>
      </c>
      <c r="C613" s="4">
        <f>MONTH(E613)</f>
        <v>8</v>
      </c>
      <c r="D613" s="4">
        <f>YEAR(E613)</f>
        <v>2023</v>
      </c>
      <c r="E613" s="3">
        <v>45144</v>
      </c>
      <c r="F613" s="4" t="s">
        <v>635</v>
      </c>
      <c r="G613" s="4" t="s">
        <v>19</v>
      </c>
      <c r="H613" s="4">
        <v>61</v>
      </c>
      <c r="I613" s="4" t="str" cm="1">
        <f t="array" ref="I613">_xlfn.IFS(
  H613&lt;30,"Young Adult",
  H613&lt;50,"Adult",
  H613&gt;=50,"Senior"
)</f>
        <v>Senior</v>
      </c>
      <c r="J613" s="4" t="s">
        <v>23</v>
      </c>
      <c r="K613" s="4">
        <v>1</v>
      </c>
      <c r="L613" s="5">
        <v>500</v>
      </c>
      <c r="M613" s="5">
        <f xml:space="preserve"> K613*L613</f>
        <v>500</v>
      </c>
      <c r="N613" s="14">
        <f xml:space="preserve"> M613 * $Q$3</f>
        <v>7.5</v>
      </c>
      <c r="O613" s="5"/>
    </row>
    <row r="614" spans="1:15">
      <c r="A614" s="2">
        <v>613</v>
      </c>
      <c r="B614" s="4">
        <f>DAY(E614)</f>
        <v>23</v>
      </c>
      <c r="C614" s="4">
        <f>MONTH(E614)</f>
        <v>4</v>
      </c>
      <c r="D614" s="4">
        <f>YEAR(E614)</f>
        <v>2023</v>
      </c>
      <c r="E614" s="17">
        <v>45039</v>
      </c>
      <c r="F614" s="4" t="s">
        <v>636</v>
      </c>
      <c r="G614" s="4" t="s">
        <v>19</v>
      </c>
      <c r="H614" s="4">
        <v>52</v>
      </c>
      <c r="I614" s="4" t="str" cm="1">
        <f t="array" ref="I614">_xlfn.IFS(
  H614&lt;30,"Young Adult",
  H614&lt;50,"Adult",
  H614&gt;=50,"Senior"
)</f>
        <v>Senior</v>
      </c>
      <c r="J614" s="4" t="s">
        <v>20</v>
      </c>
      <c r="K614" s="4">
        <v>3</v>
      </c>
      <c r="L614" s="5">
        <v>30</v>
      </c>
      <c r="M614" s="5">
        <f xml:space="preserve"> K614*L614</f>
        <v>90</v>
      </c>
      <c r="N614" s="14">
        <f xml:space="preserve"> M614 * $Q$3</f>
        <v>1.3499999999999999</v>
      </c>
      <c r="O614" s="5"/>
    </row>
    <row r="615" spans="1:15">
      <c r="A615" s="2">
        <v>614</v>
      </c>
      <c r="B615" s="4">
        <f>DAY(E615)</f>
        <v>1</v>
      </c>
      <c r="C615" s="4">
        <f>MONTH(E615)</f>
        <v>4</v>
      </c>
      <c r="D615" s="4">
        <f>YEAR(E615)</f>
        <v>2023</v>
      </c>
      <c r="E615" s="17">
        <v>45017</v>
      </c>
      <c r="F615" s="4" t="s">
        <v>637</v>
      </c>
      <c r="G615" s="4" t="s">
        <v>19</v>
      </c>
      <c r="H615" s="4">
        <v>39</v>
      </c>
      <c r="I615" s="4" t="str" cm="1">
        <f t="array" ref="I615">_xlfn.IFS(
  H615&lt;30,"Young Adult",
  H615&lt;50,"Adult",
  H615&gt;=50,"Senior"
)</f>
        <v>Adult</v>
      </c>
      <c r="J615" s="4" t="s">
        <v>16</v>
      </c>
      <c r="K615" s="4">
        <v>4</v>
      </c>
      <c r="L615" s="5">
        <v>300</v>
      </c>
      <c r="M615" s="5">
        <f xml:space="preserve"> K615*L615</f>
        <v>1200</v>
      </c>
      <c r="N615" s="14">
        <f xml:space="preserve"> M615 * $Q$3</f>
        <v>18</v>
      </c>
      <c r="O615" s="5"/>
    </row>
    <row r="616" spans="1:15">
      <c r="A616" s="2">
        <v>615</v>
      </c>
      <c r="B616" s="4">
        <f>DAY(E616)</f>
        <v>23</v>
      </c>
      <c r="C616" s="4">
        <f>MONTH(E616)</f>
        <v>12</v>
      </c>
      <c r="D616" s="4">
        <f>YEAR(E616)</f>
        <v>2023</v>
      </c>
      <c r="E616" s="3">
        <v>45283</v>
      </c>
      <c r="F616" s="4" t="s">
        <v>638</v>
      </c>
      <c r="G616" s="4" t="s">
        <v>19</v>
      </c>
      <c r="H616" s="4">
        <v>61</v>
      </c>
      <c r="I616" s="4" t="str" cm="1">
        <f t="array" ref="I616">_xlfn.IFS(
  H616&lt;30,"Young Adult",
  H616&lt;50,"Adult",
  H616&gt;=50,"Senior"
)</f>
        <v>Senior</v>
      </c>
      <c r="J616" s="4" t="s">
        <v>20</v>
      </c>
      <c r="K616" s="4">
        <v>4</v>
      </c>
      <c r="L616" s="5">
        <v>25</v>
      </c>
      <c r="M616" s="5">
        <f xml:space="preserve"> K616*L616</f>
        <v>100</v>
      </c>
      <c r="N616" s="14">
        <f xml:space="preserve"> M616 * $Q$3</f>
        <v>1.5</v>
      </c>
      <c r="O616" s="5"/>
    </row>
    <row r="617" spans="1:15">
      <c r="A617" s="2">
        <v>616</v>
      </c>
      <c r="B617" s="4">
        <f>DAY(E617)</f>
        <v>23</v>
      </c>
      <c r="C617" s="4">
        <f>MONTH(E617)</f>
        <v>9</v>
      </c>
      <c r="D617" s="4">
        <f>YEAR(E617)</f>
        <v>2023</v>
      </c>
      <c r="E617" s="3">
        <v>45192</v>
      </c>
      <c r="F617" s="4" t="s">
        <v>639</v>
      </c>
      <c r="G617" s="4" t="s">
        <v>15</v>
      </c>
      <c r="H617" s="4">
        <v>41</v>
      </c>
      <c r="I617" s="4" t="str" cm="1">
        <f t="array" ref="I617">_xlfn.IFS(
  H617&lt;30,"Young Adult",
  H617&lt;50,"Adult",
  H617&gt;=50,"Senior"
)</f>
        <v>Adult</v>
      </c>
      <c r="J617" s="4" t="s">
        <v>20</v>
      </c>
      <c r="K617" s="4">
        <v>2</v>
      </c>
      <c r="L617" s="5">
        <v>50</v>
      </c>
      <c r="M617" s="5">
        <f xml:space="preserve"> K617*L617</f>
        <v>100</v>
      </c>
      <c r="N617" s="14">
        <f xml:space="preserve"> M617 * $Q$3</f>
        <v>1.5</v>
      </c>
      <c r="O617" s="5"/>
    </row>
    <row r="618" spans="1:15">
      <c r="A618" s="2">
        <v>617</v>
      </c>
      <c r="B618" s="4">
        <f>DAY(E618)</f>
        <v>26</v>
      </c>
      <c r="C618" s="4">
        <f>MONTH(E618)</f>
        <v>8</v>
      </c>
      <c r="D618" s="4">
        <f>YEAR(E618)</f>
        <v>2023</v>
      </c>
      <c r="E618" s="3">
        <v>45164</v>
      </c>
      <c r="F618" s="4" t="s">
        <v>640</v>
      </c>
      <c r="G618" s="4" t="s">
        <v>15</v>
      </c>
      <c r="H618" s="4">
        <v>34</v>
      </c>
      <c r="I618" s="4" t="str" cm="1">
        <f t="array" ref="I618">_xlfn.IFS(
  H618&lt;30,"Young Adult",
  H618&lt;50,"Adult",
  H618&gt;=50,"Senior"
)</f>
        <v>Adult</v>
      </c>
      <c r="J618" s="4" t="s">
        <v>23</v>
      </c>
      <c r="K618" s="4">
        <v>1</v>
      </c>
      <c r="L618" s="5">
        <v>30</v>
      </c>
      <c r="M618" s="5">
        <f xml:space="preserve"> K618*L618</f>
        <v>30</v>
      </c>
      <c r="N618" s="14">
        <f xml:space="preserve"> M618 * $Q$3</f>
        <v>0.44999999999999996</v>
      </c>
      <c r="O618" s="5"/>
    </row>
    <row r="619" spans="1:15">
      <c r="A619" s="2">
        <v>618</v>
      </c>
      <c r="B619" s="4">
        <f>DAY(E619)</f>
        <v>26</v>
      </c>
      <c r="C619" s="4">
        <f>MONTH(E619)</f>
        <v>1</v>
      </c>
      <c r="D619" s="4">
        <f>YEAR(E619)</f>
        <v>2023</v>
      </c>
      <c r="E619" s="3">
        <v>44952</v>
      </c>
      <c r="F619" s="4" t="s">
        <v>641</v>
      </c>
      <c r="G619" s="4" t="s">
        <v>19</v>
      </c>
      <c r="H619" s="4">
        <v>27</v>
      </c>
      <c r="I619" s="4" t="str" cm="1">
        <f t="array" ref="I619">_xlfn.IFS(
  H619&lt;30,"Young Adult",
  H619&lt;50,"Adult",
  H619&gt;=50,"Senior"
)</f>
        <v>Young Adult</v>
      </c>
      <c r="J619" s="4" t="s">
        <v>16</v>
      </c>
      <c r="K619" s="4">
        <v>1</v>
      </c>
      <c r="L619" s="5">
        <v>50</v>
      </c>
      <c r="M619" s="5">
        <f xml:space="preserve"> K619*L619</f>
        <v>50</v>
      </c>
      <c r="N619" s="14">
        <f xml:space="preserve"> M619 * $Q$3</f>
        <v>0.75</v>
      </c>
      <c r="O619" s="5"/>
    </row>
    <row r="620" spans="1:15">
      <c r="A620" s="2">
        <v>619</v>
      </c>
      <c r="B620" s="4">
        <f>DAY(E620)</f>
        <v>13</v>
      </c>
      <c r="C620" s="4">
        <f>MONTH(E620)</f>
        <v>10</v>
      </c>
      <c r="D620" s="4">
        <f>YEAR(E620)</f>
        <v>2023</v>
      </c>
      <c r="E620" s="3">
        <v>45212</v>
      </c>
      <c r="F620" s="4" t="s">
        <v>642</v>
      </c>
      <c r="G620" s="4" t="s">
        <v>15</v>
      </c>
      <c r="H620" s="4">
        <v>47</v>
      </c>
      <c r="I620" s="4" t="str" cm="1">
        <f t="array" ref="I620">_xlfn.IFS(
  H620&lt;30,"Young Adult",
  H620&lt;50,"Adult",
  H620&gt;=50,"Senior"
)</f>
        <v>Adult</v>
      </c>
      <c r="J620" s="4" t="s">
        <v>23</v>
      </c>
      <c r="K620" s="4">
        <v>4</v>
      </c>
      <c r="L620" s="5">
        <v>25</v>
      </c>
      <c r="M620" s="5">
        <f xml:space="preserve"> K620*L620</f>
        <v>100</v>
      </c>
      <c r="N620" s="14">
        <f xml:space="preserve"> M620 * $Q$3</f>
        <v>1.5</v>
      </c>
      <c r="O620" s="5"/>
    </row>
    <row r="621" spans="1:15">
      <c r="A621" s="2">
        <v>620</v>
      </c>
      <c r="B621" s="4">
        <f>DAY(E621)</f>
        <v>8</v>
      </c>
      <c r="C621" s="4">
        <f>MONTH(E621)</f>
        <v>5</v>
      </c>
      <c r="D621" s="4">
        <f>YEAR(E621)</f>
        <v>2023</v>
      </c>
      <c r="E621" s="17">
        <v>45054</v>
      </c>
      <c r="F621" s="4" t="s">
        <v>643</v>
      </c>
      <c r="G621" s="4" t="s">
        <v>15</v>
      </c>
      <c r="H621" s="4">
        <v>63</v>
      </c>
      <c r="I621" s="4" t="str" cm="1">
        <f t="array" ref="I621">_xlfn.IFS(
  H621&lt;30,"Young Adult",
  H621&lt;50,"Adult",
  H621&gt;=50,"Senior"
)</f>
        <v>Senior</v>
      </c>
      <c r="J621" s="4" t="s">
        <v>23</v>
      </c>
      <c r="K621" s="4">
        <v>3</v>
      </c>
      <c r="L621" s="5">
        <v>25</v>
      </c>
      <c r="M621" s="5">
        <f xml:space="preserve"> K621*L621</f>
        <v>75</v>
      </c>
      <c r="N621" s="14">
        <f xml:space="preserve"> M621 * $Q$3</f>
        <v>1.125</v>
      </c>
      <c r="O621" s="5"/>
    </row>
    <row r="622" spans="1:15">
      <c r="A622" s="2">
        <v>621</v>
      </c>
      <c r="B622" s="4">
        <f>DAY(E622)</f>
        <v>4</v>
      </c>
      <c r="C622" s="4">
        <f>MONTH(E622)</f>
        <v>3</v>
      </c>
      <c r="D622" s="4">
        <f>YEAR(E622)</f>
        <v>2023</v>
      </c>
      <c r="E622" s="17">
        <v>44989</v>
      </c>
      <c r="F622" s="4" t="s">
        <v>644</v>
      </c>
      <c r="G622" s="4" t="s">
        <v>19</v>
      </c>
      <c r="H622" s="4">
        <v>40</v>
      </c>
      <c r="I622" s="4" t="str" cm="1">
        <f t="array" ref="I622">_xlfn.IFS(
  H622&lt;30,"Young Adult",
  H622&lt;50,"Adult",
  H622&gt;=50,"Senior"
)</f>
        <v>Adult</v>
      </c>
      <c r="J622" s="4" t="s">
        <v>16</v>
      </c>
      <c r="K622" s="4">
        <v>2</v>
      </c>
      <c r="L622" s="5">
        <v>500</v>
      </c>
      <c r="M622" s="5">
        <f xml:space="preserve"> K622*L622</f>
        <v>1000</v>
      </c>
      <c r="N622" s="14">
        <f xml:space="preserve"> M622 * $Q$3</f>
        <v>15</v>
      </c>
      <c r="O622" s="5"/>
    </row>
    <row r="623" spans="1:15">
      <c r="A623" s="2">
        <v>622</v>
      </c>
      <c r="B623" s="4">
        <f>DAY(E623)</f>
        <v>22</v>
      </c>
      <c r="C623" s="4">
        <f>MONTH(E623)</f>
        <v>8</v>
      </c>
      <c r="D623" s="4">
        <f>YEAR(E623)</f>
        <v>2023</v>
      </c>
      <c r="E623" s="3">
        <v>45160</v>
      </c>
      <c r="F623" s="4" t="s">
        <v>645</v>
      </c>
      <c r="G623" s="4" t="s">
        <v>19</v>
      </c>
      <c r="H623" s="4">
        <v>49</v>
      </c>
      <c r="I623" s="4" t="str" cm="1">
        <f t="array" ref="I623">_xlfn.IFS(
  H623&lt;30,"Young Adult",
  H623&lt;50,"Adult",
  H623&gt;=50,"Senior"
)</f>
        <v>Adult</v>
      </c>
      <c r="J623" s="4" t="s">
        <v>16</v>
      </c>
      <c r="K623" s="4">
        <v>3</v>
      </c>
      <c r="L623" s="5">
        <v>25</v>
      </c>
      <c r="M623" s="5">
        <f xml:space="preserve"> K623*L623</f>
        <v>75</v>
      </c>
      <c r="N623" s="14">
        <f xml:space="preserve"> M623 * $Q$3</f>
        <v>1.125</v>
      </c>
      <c r="O623" s="5"/>
    </row>
    <row r="624" spans="1:15">
      <c r="A624" s="2">
        <v>623</v>
      </c>
      <c r="B624" s="4">
        <f>DAY(E624)</f>
        <v>10</v>
      </c>
      <c r="C624" s="4">
        <f>MONTH(E624)</f>
        <v>3</v>
      </c>
      <c r="D624" s="4">
        <f>YEAR(E624)</f>
        <v>2023</v>
      </c>
      <c r="E624" s="17">
        <v>44995</v>
      </c>
      <c r="F624" s="4" t="s">
        <v>646</v>
      </c>
      <c r="G624" s="4" t="s">
        <v>15</v>
      </c>
      <c r="H624" s="4">
        <v>34</v>
      </c>
      <c r="I624" s="4" t="str" cm="1">
        <f t="array" ref="I624">_xlfn.IFS(
  H624&lt;30,"Young Adult",
  H624&lt;50,"Adult",
  H624&gt;=50,"Senior"
)</f>
        <v>Adult</v>
      </c>
      <c r="J624" s="4" t="s">
        <v>20</v>
      </c>
      <c r="K624" s="4">
        <v>3</v>
      </c>
      <c r="L624" s="5">
        <v>50</v>
      </c>
      <c r="M624" s="5">
        <f xml:space="preserve"> K624*L624</f>
        <v>150</v>
      </c>
      <c r="N624" s="14">
        <f xml:space="preserve"> M624 * $Q$3</f>
        <v>2.25</v>
      </c>
      <c r="O624" s="5"/>
    </row>
    <row r="625" spans="1:15">
      <c r="A625" s="2">
        <v>624</v>
      </c>
      <c r="B625" s="4">
        <f>DAY(E625)</f>
        <v>26</v>
      </c>
      <c r="C625" s="4">
        <f>MONTH(E625)</f>
        <v>8</v>
      </c>
      <c r="D625" s="4">
        <f>YEAR(E625)</f>
        <v>2023</v>
      </c>
      <c r="E625" s="3">
        <v>45164</v>
      </c>
      <c r="F625" s="4" t="s">
        <v>647</v>
      </c>
      <c r="G625" s="4" t="s">
        <v>19</v>
      </c>
      <c r="H625" s="4">
        <v>34</v>
      </c>
      <c r="I625" s="4" t="str" cm="1">
        <f t="array" ref="I625">_xlfn.IFS(
  H625&lt;30,"Young Adult",
  H625&lt;50,"Adult",
  H625&gt;=50,"Senior"
)</f>
        <v>Adult</v>
      </c>
      <c r="J625" s="4" t="s">
        <v>16</v>
      </c>
      <c r="K625" s="4">
        <v>3</v>
      </c>
      <c r="L625" s="5">
        <v>300</v>
      </c>
      <c r="M625" s="5">
        <f xml:space="preserve"> K625*L625</f>
        <v>900</v>
      </c>
      <c r="N625" s="14">
        <f xml:space="preserve"> M625 * $Q$3</f>
        <v>13.5</v>
      </c>
      <c r="O625" s="5"/>
    </row>
    <row r="626" spans="1:15">
      <c r="A626" s="2">
        <v>625</v>
      </c>
      <c r="B626" s="4">
        <f>DAY(E626)</f>
        <v>8</v>
      </c>
      <c r="C626" s="4">
        <f>MONTH(E626)</f>
        <v>12</v>
      </c>
      <c r="D626" s="4">
        <f>YEAR(E626)</f>
        <v>2023</v>
      </c>
      <c r="E626" s="3">
        <v>45268</v>
      </c>
      <c r="F626" s="4" t="s">
        <v>648</v>
      </c>
      <c r="G626" s="4" t="s">
        <v>15</v>
      </c>
      <c r="H626" s="4">
        <v>31</v>
      </c>
      <c r="I626" s="4" t="str" cm="1">
        <f t="array" ref="I626">_xlfn.IFS(
  H626&lt;30,"Young Adult",
  H626&lt;50,"Adult",
  H626&gt;=50,"Senior"
)</f>
        <v>Adult</v>
      </c>
      <c r="J626" s="4" t="s">
        <v>20</v>
      </c>
      <c r="K626" s="4">
        <v>1</v>
      </c>
      <c r="L626" s="5">
        <v>300</v>
      </c>
      <c r="M626" s="5">
        <f xml:space="preserve"> K626*L626</f>
        <v>300</v>
      </c>
      <c r="N626" s="14">
        <f xml:space="preserve"> M626 * $Q$3</f>
        <v>4.5</v>
      </c>
      <c r="O626" s="5"/>
    </row>
    <row r="627" spans="1:15">
      <c r="A627" s="2">
        <v>626</v>
      </c>
      <c r="B627" s="4">
        <f>DAY(E627)</f>
        <v>29</v>
      </c>
      <c r="C627" s="4">
        <f>MONTH(E627)</f>
        <v>9</v>
      </c>
      <c r="D627" s="4">
        <f>YEAR(E627)</f>
        <v>2023</v>
      </c>
      <c r="E627" s="3">
        <v>45198</v>
      </c>
      <c r="F627" s="4" t="s">
        <v>649</v>
      </c>
      <c r="G627" s="4" t="s">
        <v>19</v>
      </c>
      <c r="H627" s="4">
        <v>26</v>
      </c>
      <c r="I627" s="4" t="str" cm="1">
        <f t="array" ref="I627">_xlfn.IFS(
  H627&lt;30,"Young Adult",
  H627&lt;50,"Adult",
  H627&gt;=50,"Senior"
)</f>
        <v>Young Adult</v>
      </c>
      <c r="J627" s="4" t="s">
        <v>20</v>
      </c>
      <c r="K627" s="4">
        <v>4</v>
      </c>
      <c r="L627" s="5">
        <v>500</v>
      </c>
      <c r="M627" s="5">
        <f xml:space="preserve"> K627*L627</f>
        <v>2000</v>
      </c>
      <c r="N627" s="14">
        <f xml:space="preserve"> M627 * $Q$3</f>
        <v>30</v>
      </c>
      <c r="O627" s="5"/>
    </row>
    <row r="628" spans="1:15">
      <c r="A628" s="2">
        <v>627</v>
      </c>
      <c r="B628" s="4">
        <f>DAY(E628)</f>
        <v>14</v>
      </c>
      <c r="C628" s="4">
        <f>MONTH(E628)</f>
        <v>10</v>
      </c>
      <c r="D628" s="4">
        <f>YEAR(E628)</f>
        <v>2023</v>
      </c>
      <c r="E628" s="3">
        <v>45213</v>
      </c>
      <c r="F628" s="4" t="s">
        <v>650</v>
      </c>
      <c r="G628" s="4" t="s">
        <v>15</v>
      </c>
      <c r="H628" s="4">
        <v>57</v>
      </c>
      <c r="I628" s="4" t="str" cm="1">
        <f t="array" ref="I628">_xlfn.IFS(
  H628&lt;30,"Young Adult",
  H628&lt;50,"Adult",
  H628&gt;=50,"Senior"
)</f>
        <v>Senior</v>
      </c>
      <c r="J628" s="4" t="s">
        <v>20</v>
      </c>
      <c r="K628" s="4">
        <v>1</v>
      </c>
      <c r="L628" s="5">
        <v>50</v>
      </c>
      <c r="M628" s="5">
        <f xml:space="preserve"> K628*L628</f>
        <v>50</v>
      </c>
      <c r="N628" s="14">
        <f xml:space="preserve"> M628 * $Q$3</f>
        <v>0.75</v>
      </c>
      <c r="O628" s="5"/>
    </row>
    <row r="629" spans="1:15">
      <c r="A629" s="2">
        <v>628</v>
      </c>
      <c r="B629" s="4">
        <f>DAY(E629)</f>
        <v>1</v>
      </c>
      <c r="C629" s="4">
        <f>MONTH(E629)</f>
        <v>11</v>
      </c>
      <c r="D629" s="4">
        <f>YEAR(E629)</f>
        <v>2023</v>
      </c>
      <c r="E629" s="3">
        <v>45231</v>
      </c>
      <c r="F629" s="4" t="s">
        <v>651</v>
      </c>
      <c r="G629" s="4" t="s">
        <v>19</v>
      </c>
      <c r="H629" s="4">
        <v>19</v>
      </c>
      <c r="I629" s="4" t="str" cm="1">
        <f t="array" ref="I629">_xlfn.IFS(
  H629&lt;30,"Young Adult",
  H629&lt;50,"Adult",
  H629&gt;=50,"Senior"
)</f>
        <v>Young Adult</v>
      </c>
      <c r="J629" s="4" t="s">
        <v>16</v>
      </c>
      <c r="K629" s="4">
        <v>4</v>
      </c>
      <c r="L629" s="5">
        <v>50</v>
      </c>
      <c r="M629" s="5">
        <f xml:space="preserve"> K629*L629</f>
        <v>200</v>
      </c>
      <c r="N629" s="14">
        <f xml:space="preserve"> M629 * $Q$3</f>
        <v>3</v>
      </c>
      <c r="O629" s="5"/>
    </row>
    <row r="630" spans="1:15">
      <c r="A630" s="2">
        <v>629</v>
      </c>
      <c r="B630" s="4">
        <f>DAY(E630)</f>
        <v>12</v>
      </c>
      <c r="C630" s="4">
        <f>MONTH(E630)</f>
        <v>6</v>
      </c>
      <c r="D630" s="4">
        <f>YEAR(E630)</f>
        <v>2023</v>
      </c>
      <c r="E630" s="3">
        <v>45089</v>
      </c>
      <c r="F630" s="4" t="s">
        <v>652</v>
      </c>
      <c r="G630" s="4" t="s">
        <v>15</v>
      </c>
      <c r="H630" s="4">
        <v>62</v>
      </c>
      <c r="I630" s="4" t="str" cm="1">
        <f t="array" ref="I630">_xlfn.IFS(
  H630&lt;30,"Young Adult",
  H630&lt;50,"Adult",
  H630&gt;=50,"Senior"
)</f>
        <v>Senior</v>
      </c>
      <c r="J630" s="4" t="s">
        <v>23</v>
      </c>
      <c r="K630" s="4">
        <v>2</v>
      </c>
      <c r="L630" s="5">
        <v>25</v>
      </c>
      <c r="M630" s="5">
        <f xml:space="preserve"> K630*L630</f>
        <v>50</v>
      </c>
      <c r="N630" s="14">
        <f xml:space="preserve"> M630 * $Q$3</f>
        <v>0.75</v>
      </c>
      <c r="O630" s="5"/>
    </row>
    <row r="631" spans="1:15">
      <c r="A631" s="2">
        <v>630</v>
      </c>
      <c r="B631" s="4">
        <f>DAY(E631)</f>
        <v>15</v>
      </c>
      <c r="C631" s="4">
        <f>MONTH(E631)</f>
        <v>8</v>
      </c>
      <c r="D631" s="4">
        <f>YEAR(E631)</f>
        <v>2023</v>
      </c>
      <c r="E631" s="3">
        <v>45153</v>
      </c>
      <c r="F631" s="4" t="s">
        <v>653</v>
      </c>
      <c r="G631" s="4" t="s">
        <v>15</v>
      </c>
      <c r="H631" s="4">
        <v>42</v>
      </c>
      <c r="I631" s="4" t="str" cm="1">
        <f t="array" ref="I631">_xlfn.IFS(
  H631&lt;30,"Young Adult",
  H631&lt;50,"Adult",
  H631&gt;=50,"Senior"
)</f>
        <v>Adult</v>
      </c>
      <c r="J631" s="4" t="s">
        <v>20</v>
      </c>
      <c r="K631" s="4">
        <v>2</v>
      </c>
      <c r="L631" s="5">
        <v>50</v>
      </c>
      <c r="M631" s="5">
        <f xml:space="preserve"> K631*L631</f>
        <v>100</v>
      </c>
      <c r="N631" s="14">
        <f xml:space="preserve"> M631 * $Q$3</f>
        <v>1.5</v>
      </c>
      <c r="O631" s="5"/>
    </row>
    <row r="632" spans="1:15">
      <c r="A632" s="2">
        <v>631</v>
      </c>
      <c r="B632" s="4">
        <f>DAY(E632)</f>
        <v>10</v>
      </c>
      <c r="C632" s="4">
        <f>MONTH(E632)</f>
        <v>11</v>
      </c>
      <c r="D632" s="4">
        <f>YEAR(E632)</f>
        <v>2023</v>
      </c>
      <c r="E632" s="3">
        <v>45240</v>
      </c>
      <c r="F632" s="4" t="s">
        <v>654</v>
      </c>
      <c r="G632" s="4" t="s">
        <v>15</v>
      </c>
      <c r="H632" s="4">
        <v>56</v>
      </c>
      <c r="I632" s="4" t="str" cm="1">
        <f t="array" ref="I632">_xlfn.IFS(
  H632&lt;30,"Young Adult",
  H632&lt;50,"Adult",
  H632&gt;=50,"Senior"
)</f>
        <v>Senior</v>
      </c>
      <c r="J632" s="4" t="s">
        <v>23</v>
      </c>
      <c r="K632" s="4">
        <v>3</v>
      </c>
      <c r="L632" s="5">
        <v>30</v>
      </c>
      <c r="M632" s="5">
        <f xml:space="preserve"> K632*L632</f>
        <v>90</v>
      </c>
      <c r="N632" s="14">
        <f xml:space="preserve"> M632 * $Q$3</f>
        <v>1.3499999999999999</v>
      </c>
      <c r="O632" s="5"/>
    </row>
    <row r="633" spans="1:15">
      <c r="A633" s="2">
        <v>632</v>
      </c>
      <c r="B633" s="4">
        <f>DAY(E633)</f>
        <v>16</v>
      </c>
      <c r="C633" s="4">
        <f>MONTH(E633)</f>
        <v>9</v>
      </c>
      <c r="D633" s="4">
        <f>YEAR(E633)</f>
        <v>2023</v>
      </c>
      <c r="E633" s="3">
        <v>45185</v>
      </c>
      <c r="F633" s="4" t="s">
        <v>655</v>
      </c>
      <c r="G633" s="4" t="s">
        <v>19</v>
      </c>
      <c r="H633" s="4">
        <v>26</v>
      </c>
      <c r="I633" s="4" t="str" cm="1">
        <f t="array" ref="I633">_xlfn.IFS(
  H633&lt;30,"Young Adult",
  H633&lt;50,"Adult",
  H633&gt;=50,"Senior"
)</f>
        <v>Young Adult</v>
      </c>
      <c r="J633" s="4" t="s">
        <v>23</v>
      </c>
      <c r="K633" s="4">
        <v>4</v>
      </c>
      <c r="L633" s="5">
        <v>25</v>
      </c>
      <c r="M633" s="5">
        <f xml:space="preserve"> K633*L633</f>
        <v>100</v>
      </c>
      <c r="N633" s="14">
        <f xml:space="preserve"> M633 * $Q$3</f>
        <v>1.5</v>
      </c>
      <c r="O633" s="5"/>
    </row>
    <row r="634" spans="1:15">
      <c r="A634" s="2">
        <v>633</v>
      </c>
      <c r="B634" s="4">
        <f>DAY(E634)</f>
        <v>7</v>
      </c>
      <c r="C634" s="4">
        <f>MONTH(E634)</f>
        <v>8</v>
      </c>
      <c r="D634" s="4">
        <f>YEAR(E634)</f>
        <v>2023</v>
      </c>
      <c r="E634" s="3">
        <v>45145</v>
      </c>
      <c r="F634" s="4" t="s">
        <v>656</v>
      </c>
      <c r="G634" s="4" t="s">
        <v>15</v>
      </c>
      <c r="H634" s="4">
        <v>39</v>
      </c>
      <c r="I634" s="4" t="str" cm="1">
        <f t="array" ref="I634">_xlfn.IFS(
  H634&lt;30,"Young Adult",
  H634&lt;50,"Adult",
  H634&gt;=50,"Senior"
)</f>
        <v>Adult</v>
      </c>
      <c r="J634" s="4" t="s">
        <v>16</v>
      </c>
      <c r="K634" s="4">
        <v>4</v>
      </c>
      <c r="L634" s="5">
        <v>30</v>
      </c>
      <c r="M634" s="5">
        <f xml:space="preserve"> K634*L634</f>
        <v>120</v>
      </c>
      <c r="N634" s="14">
        <f xml:space="preserve"> M634 * $Q$3</f>
        <v>1.7999999999999998</v>
      </c>
      <c r="O634" s="5"/>
    </row>
    <row r="635" spans="1:15">
      <c r="A635" s="2">
        <v>634</v>
      </c>
      <c r="B635" s="4">
        <f>DAY(E635)</f>
        <v>8</v>
      </c>
      <c r="C635" s="4">
        <f>MONTH(E635)</f>
        <v>10</v>
      </c>
      <c r="D635" s="4">
        <f>YEAR(E635)</f>
        <v>2023</v>
      </c>
      <c r="E635" s="3">
        <v>45207</v>
      </c>
      <c r="F635" s="4" t="s">
        <v>657</v>
      </c>
      <c r="G635" s="4" t="s">
        <v>15</v>
      </c>
      <c r="H635" s="4">
        <v>60</v>
      </c>
      <c r="I635" s="4" t="str" cm="1">
        <f t="array" ref="I635">_xlfn.IFS(
  H635&lt;30,"Young Adult",
  H635&lt;50,"Adult",
  H635&gt;=50,"Senior"
)</f>
        <v>Senior</v>
      </c>
      <c r="J635" s="4" t="s">
        <v>23</v>
      </c>
      <c r="K635" s="4">
        <v>4</v>
      </c>
      <c r="L635" s="5">
        <v>500</v>
      </c>
      <c r="M635" s="5">
        <f xml:space="preserve"> K635*L635</f>
        <v>2000</v>
      </c>
      <c r="N635" s="14">
        <f xml:space="preserve"> M635 * $Q$3</f>
        <v>30</v>
      </c>
      <c r="O635" s="5"/>
    </row>
    <row r="636" spans="1:15">
      <c r="A636" s="2">
        <v>635</v>
      </c>
      <c r="B636" s="4">
        <f>DAY(E636)</f>
        <v>17</v>
      </c>
      <c r="C636" s="4">
        <f>MONTH(E636)</f>
        <v>8</v>
      </c>
      <c r="D636" s="4">
        <f>YEAR(E636)</f>
        <v>2023</v>
      </c>
      <c r="E636" s="3">
        <v>45155</v>
      </c>
      <c r="F636" s="4" t="s">
        <v>658</v>
      </c>
      <c r="G636" s="4" t="s">
        <v>19</v>
      </c>
      <c r="H636" s="4">
        <v>63</v>
      </c>
      <c r="I636" s="4" t="str" cm="1">
        <f t="array" ref="I636">_xlfn.IFS(
  H636&lt;30,"Young Adult",
  H636&lt;50,"Adult",
  H636&gt;=50,"Senior"
)</f>
        <v>Senior</v>
      </c>
      <c r="J636" s="4" t="s">
        <v>23</v>
      </c>
      <c r="K636" s="4">
        <v>3</v>
      </c>
      <c r="L636" s="5">
        <v>300</v>
      </c>
      <c r="M636" s="5">
        <f xml:space="preserve"> K636*L636</f>
        <v>900</v>
      </c>
      <c r="N636" s="14">
        <f xml:space="preserve"> M636 * $Q$3</f>
        <v>13.5</v>
      </c>
      <c r="O636" s="5"/>
    </row>
    <row r="637" spans="1:15">
      <c r="A637" s="2">
        <v>636</v>
      </c>
      <c r="B637" s="4">
        <f>DAY(E637)</f>
        <v>23</v>
      </c>
      <c r="C637" s="4">
        <f>MONTH(E637)</f>
        <v>3</v>
      </c>
      <c r="D637" s="4">
        <f>YEAR(E637)</f>
        <v>2023</v>
      </c>
      <c r="E637" s="17">
        <v>45008</v>
      </c>
      <c r="F637" s="4" t="s">
        <v>659</v>
      </c>
      <c r="G637" s="4" t="s">
        <v>19</v>
      </c>
      <c r="H637" s="4">
        <v>21</v>
      </c>
      <c r="I637" s="4" t="str" cm="1">
        <f t="array" ref="I637">_xlfn.IFS(
  H637&lt;30,"Young Adult",
  H637&lt;50,"Adult",
  H637&gt;=50,"Senior"
)</f>
        <v>Young Adult</v>
      </c>
      <c r="J637" s="4" t="s">
        <v>16</v>
      </c>
      <c r="K637" s="4">
        <v>3</v>
      </c>
      <c r="L637" s="5">
        <v>500</v>
      </c>
      <c r="M637" s="5">
        <f xml:space="preserve"> K637*L637</f>
        <v>1500</v>
      </c>
      <c r="N637" s="14">
        <f xml:space="preserve"> M637 * $Q$3</f>
        <v>22.5</v>
      </c>
      <c r="O637" s="5"/>
    </row>
    <row r="638" spans="1:15">
      <c r="A638" s="2">
        <v>637</v>
      </c>
      <c r="B638" s="4">
        <f>DAY(E638)</f>
        <v>1</v>
      </c>
      <c r="C638" s="4">
        <f>MONTH(E638)</f>
        <v>9</v>
      </c>
      <c r="D638" s="4">
        <f>YEAR(E638)</f>
        <v>2023</v>
      </c>
      <c r="E638" s="3">
        <v>45170</v>
      </c>
      <c r="F638" s="4" t="s">
        <v>660</v>
      </c>
      <c r="G638" s="4" t="s">
        <v>15</v>
      </c>
      <c r="H638" s="4">
        <v>43</v>
      </c>
      <c r="I638" s="4" t="str" cm="1">
        <f t="array" ref="I638">_xlfn.IFS(
  H638&lt;30,"Young Adult",
  H638&lt;50,"Adult",
  H638&gt;=50,"Senior"
)</f>
        <v>Adult</v>
      </c>
      <c r="J638" s="4" t="s">
        <v>20</v>
      </c>
      <c r="K638" s="4">
        <v>2</v>
      </c>
      <c r="L638" s="5">
        <v>300</v>
      </c>
      <c r="M638" s="5">
        <f xml:space="preserve"> K638*L638</f>
        <v>600</v>
      </c>
      <c r="N638" s="14">
        <f xml:space="preserve"> M638 * $Q$3</f>
        <v>9</v>
      </c>
      <c r="O638" s="5"/>
    </row>
    <row r="639" spans="1:15">
      <c r="A639" s="2">
        <v>638</v>
      </c>
      <c r="B639" s="4">
        <f>DAY(E639)</f>
        <v>19</v>
      </c>
      <c r="C639" s="4">
        <f>MONTH(E639)</f>
        <v>8</v>
      </c>
      <c r="D639" s="4">
        <f>YEAR(E639)</f>
        <v>2023</v>
      </c>
      <c r="E639" s="3">
        <v>45157</v>
      </c>
      <c r="F639" s="4" t="s">
        <v>661</v>
      </c>
      <c r="G639" s="4" t="s">
        <v>15</v>
      </c>
      <c r="H639" s="4">
        <v>46</v>
      </c>
      <c r="I639" s="4" t="str" cm="1">
        <f t="array" ref="I639">_xlfn.IFS(
  H639&lt;30,"Young Adult",
  H639&lt;50,"Adult",
  H639&gt;=50,"Senior"
)</f>
        <v>Adult</v>
      </c>
      <c r="J639" s="4" t="s">
        <v>23</v>
      </c>
      <c r="K639" s="4">
        <v>1</v>
      </c>
      <c r="L639" s="5">
        <v>500</v>
      </c>
      <c r="M639" s="5">
        <f xml:space="preserve"> K639*L639</f>
        <v>500</v>
      </c>
      <c r="N639" s="14">
        <f xml:space="preserve"> M639 * $Q$3</f>
        <v>7.5</v>
      </c>
      <c r="O639" s="5"/>
    </row>
    <row r="640" spans="1:15">
      <c r="A640" s="2">
        <v>639</v>
      </c>
      <c r="B640" s="4">
        <f>DAY(E640)</f>
        <v>13</v>
      </c>
      <c r="C640" s="4">
        <f>MONTH(E640)</f>
        <v>5</v>
      </c>
      <c r="D640" s="4">
        <f>YEAR(E640)</f>
        <v>2023</v>
      </c>
      <c r="E640" s="17">
        <v>45059</v>
      </c>
      <c r="F640" s="4" t="s">
        <v>662</v>
      </c>
      <c r="G640" s="4" t="s">
        <v>19</v>
      </c>
      <c r="H640" s="4">
        <v>62</v>
      </c>
      <c r="I640" s="4" t="str" cm="1">
        <f t="array" ref="I640">_xlfn.IFS(
  H640&lt;30,"Young Adult",
  H640&lt;50,"Adult",
  H640&gt;=50,"Senior"
)</f>
        <v>Senior</v>
      </c>
      <c r="J640" s="4" t="s">
        <v>16</v>
      </c>
      <c r="K640" s="4">
        <v>4</v>
      </c>
      <c r="L640" s="5">
        <v>50</v>
      </c>
      <c r="M640" s="5">
        <f xml:space="preserve"> K640*L640</f>
        <v>200</v>
      </c>
      <c r="N640" s="14">
        <f xml:space="preserve"> M640 * $Q$3</f>
        <v>3</v>
      </c>
      <c r="O640" s="5"/>
    </row>
    <row r="641" spans="1:15">
      <c r="A641" s="2">
        <v>640</v>
      </c>
      <c r="B641" s="4">
        <f>DAY(E641)</f>
        <v>7</v>
      </c>
      <c r="C641" s="4">
        <f>MONTH(E641)</f>
        <v>5</v>
      </c>
      <c r="D641" s="4">
        <f>YEAR(E641)</f>
        <v>2023</v>
      </c>
      <c r="E641" s="17">
        <v>45053</v>
      </c>
      <c r="F641" s="4" t="s">
        <v>663</v>
      </c>
      <c r="G641" s="4" t="s">
        <v>19</v>
      </c>
      <c r="H641" s="4">
        <v>51</v>
      </c>
      <c r="I641" s="4" t="str" cm="1">
        <f t="array" ref="I641">_xlfn.IFS(
  H641&lt;30,"Young Adult",
  H641&lt;50,"Adult",
  H641&gt;=50,"Senior"
)</f>
        <v>Senior</v>
      </c>
      <c r="J641" s="4" t="s">
        <v>23</v>
      </c>
      <c r="K641" s="4">
        <v>4</v>
      </c>
      <c r="L641" s="5">
        <v>30</v>
      </c>
      <c r="M641" s="5">
        <f xml:space="preserve"> K641*L641</f>
        <v>120</v>
      </c>
      <c r="N641" s="14">
        <f xml:space="preserve"> M641 * $Q$3</f>
        <v>1.7999999999999998</v>
      </c>
      <c r="O641" s="5"/>
    </row>
    <row r="642" spans="1:15">
      <c r="A642" s="2">
        <v>641</v>
      </c>
      <c r="B642" s="4">
        <f>DAY(E642)</f>
        <v>23</v>
      </c>
      <c r="C642" s="4">
        <f>MONTH(E642)</f>
        <v>11</v>
      </c>
      <c r="D642" s="4">
        <f>YEAR(E642)</f>
        <v>2023</v>
      </c>
      <c r="E642" s="3">
        <v>45253</v>
      </c>
      <c r="F642" s="4" t="s">
        <v>664</v>
      </c>
      <c r="G642" s="4" t="s">
        <v>19</v>
      </c>
      <c r="H642" s="4">
        <v>40</v>
      </c>
      <c r="I642" s="4" t="str" cm="1">
        <f t="array" ref="I642">_xlfn.IFS(
  H642&lt;30,"Young Adult",
  H642&lt;50,"Adult",
  H642&gt;=50,"Senior"
)</f>
        <v>Adult</v>
      </c>
      <c r="J642" s="4" t="s">
        <v>23</v>
      </c>
      <c r="K642" s="4">
        <v>1</v>
      </c>
      <c r="L642" s="5">
        <v>300</v>
      </c>
      <c r="M642" s="5">
        <f xml:space="preserve"> K642*L642</f>
        <v>300</v>
      </c>
      <c r="N642" s="14">
        <f xml:space="preserve"> M642 * $Q$3</f>
        <v>4.5</v>
      </c>
      <c r="O642" s="5"/>
    </row>
    <row r="643" spans="1:15">
      <c r="A643" s="2">
        <v>642</v>
      </c>
      <c r="B643" s="4">
        <f>DAY(E643)</f>
        <v>22</v>
      </c>
      <c r="C643" s="4">
        <f>MONTH(E643)</f>
        <v>5</v>
      </c>
      <c r="D643" s="4">
        <f>YEAR(E643)</f>
        <v>2023</v>
      </c>
      <c r="E643" s="17">
        <v>45068</v>
      </c>
      <c r="F643" s="4" t="s">
        <v>665</v>
      </c>
      <c r="G643" s="4" t="s">
        <v>19</v>
      </c>
      <c r="H643" s="4">
        <v>54</v>
      </c>
      <c r="I643" s="4" t="str" cm="1">
        <f t="array" ref="I643">_xlfn.IFS(
  H643&lt;30,"Young Adult",
  H643&lt;50,"Adult",
  H643&gt;=50,"Senior"
)</f>
        <v>Senior</v>
      </c>
      <c r="J643" s="4" t="s">
        <v>20</v>
      </c>
      <c r="K643" s="4">
        <v>4</v>
      </c>
      <c r="L643" s="5">
        <v>25</v>
      </c>
      <c r="M643" s="5">
        <f xml:space="preserve"> K643*L643</f>
        <v>100</v>
      </c>
      <c r="N643" s="14">
        <f xml:space="preserve"> M643 * $Q$3</f>
        <v>1.5</v>
      </c>
      <c r="O643" s="5"/>
    </row>
    <row r="644" spans="1:15">
      <c r="A644" s="2">
        <v>643</v>
      </c>
      <c r="B644" s="4">
        <f>DAY(E644)</f>
        <v>24</v>
      </c>
      <c r="C644" s="4">
        <f>MONTH(E644)</f>
        <v>9</v>
      </c>
      <c r="D644" s="4">
        <f>YEAR(E644)</f>
        <v>2023</v>
      </c>
      <c r="E644" s="3">
        <v>45193</v>
      </c>
      <c r="F644" s="4" t="s">
        <v>666</v>
      </c>
      <c r="G644" s="4" t="s">
        <v>19</v>
      </c>
      <c r="H644" s="4">
        <v>28</v>
      </c>
      <c r="I644" s="4" t="str" cm="1">
        <f t="array" ref="I644">_xlfn.IFS(
  H644&lt;30,"Young Adult",
  H644&lt;50,"Adult",
  H644&gt;=50,"Senior"
)</f>
        <v>Young Adult</v>
      </c>
      <c r="J644" s="4" t="s">
        <v>23</v>
      </c>
      <c r="K644" s="4">
        <v>3</v>
      </c>
      <c r="L644" s="5">
        <v>30</v>
      </c>
      <c r="M644" s="5">
        <f xml:space="preserve"> K644*L644</f>
        <v>90</v>
      </c>
      <c r="N644" s="14">
        <f xml:space="preserve"> M644 * $Q$3</f>
        <v>1.3499999999999999</v>
      </c>
      <c r="O644" s="5"/>
    </row>
    <row r="645" spans="1:15">
      <c r="A645" s="2">
        <v>644</v>
      </c>
      <c r="B645" s="4">
        <f>DAY(E645)</f>
        <v>6</v>
      </c>
      <c r="C645" s="4">
        <f>MONTH(E645)</f>
        <v>9</v>
      </c>
      <c r="D645" s="4">
        <f>YEAR(E645)</f>
        <v>2023</v>
      </c>
      <c r="E645" s="3">
        <v>45175</v>
      </c>
      <c r="F645" s="4" t="s">
        <v>667</v>
      </c>
      <c r="G645" s="4" t="s">
        <v>15</v>
      </c>
      <c r="H645" s="4">
        <v>23</v>
      </c>
      <c r="I645" s="4" t="str" cm="1">
        <f t="array" ref="I645">_xlfn.IFS(
  H645&lt;30,"Young Adult",
  H645&lt;50,"Adult",
  H645&gt;=50,"Senior"
)</f>
        <v>Young Adult</v>
      </c>
      <c r="J645" s="4" t="s">
        <v>16</v>
      </c>
      <c r="K645" s="4">
        <v>3</v>
      </c>
      <c r="L645" s="5">
        <v>25</v>
      </c>
      <c r="M645" s="5">
        <f xml:space="preserve"> K645*L645</f>
        <v>75</v>
      </c>
      <c r="N645" s="14">
        <f xml:space="preserve"> M645 * $Q$3</f>
        <v>1.125</v>
      </c>
      <c r="O645" s="5"/>
    </row>
    <row r="646" spans="1:15">
      <c r="A646" s="2">
        <v>645</v>
      </c>
      <c r="B646" s="4">
        <f>DAY(E646)</f>
        <v>17</v>
      </c>
      <c r="C646" s="4">
        <f>MONTH(E646)</f>
        <v>11</v>
      </c>
      <c r="D646" s="4">
        <f>YEAR(E646)</f>
        <v>2023</v>
      </c>
      <c r="E646" s="3">
        <v>45247</v>
      </c>
      <c r="F646" s="4" t="s">
        <v>668</v>
      </c>
      <c r="G646" s="4" t="s">
        <v>19</v>
      </c>
      <c r="H646" s="4">
        <v>35</v>
      </c>
      <c r="I646" s="4" t="str" cm="1">
        <f t="array" ref="I646">_xlfn.IFS(
  H646&lt;30,"Young Adult",
  H646&lt;50,"Adult",
  H646&gt;=50,"Senior"
)</f>
        <v>Adult</v>
      </c>
      <c r="J646" s="4" t="s">
        <v>23</v>
      </c>
      <c r="K646" s="4">
        <v>4</v>
      </c>
      <c r="L646" s="5">
        <v>30</v>
      </c>
      <c r="M646" s="5">
        <f xml:space="preserve"> K646*L646</f>
        <v>120</v>
      </c>
      <c r="N646" s="14">
        <f xml:space="preserve"> M646 * $Q$3</f>
        <v>1.7999999999999998</v>
      </c>
      <c r="O646" s="5"/>
    </row>
    <row r="647" spans="1:15">
      <c r="A647" s="2">
        <v>646</v>
      </c>
      <c r="B647" s="4">
        <f>DAY(E647)</f>
        <v>3</v>
      </c>
      <c r="C647" s="4">
        <f>MONTH(E647)</f>
        <v>5</v>
      </c>
      <c r="D647" s="4">
        <f>YEAR(E647)</f>
        <v>2023</v>
      </c>
      <c r="E647" s="17">
        <v>45049</v>
      </c>
      <c r="F647" s="4" t="s">
        <v>669</v>
      </c>
      <c r="G647" s="4" t="s">
        <v>15</v>
      </c>
      <c r="H647" s="4">
        <v>38</v>
      </c>
      <c r="I647" s="4" t="str" cm="1">
        <f t="array" ref="I647">_xlfn.IFS(
  H647&lt;30,"Young Adult",
  H647&lt;50,"Adult",
  H647&gt;=50,"Senior"
)</f>
        <v>Adult</v>
      </c>
      <c r="J647" s="4" t="s">
        <v>20</v>
      </c>
      <c r="K647" s="4">
        <v>3</v>
      </c>
      <c r="L647" s="5">
        <v>30</v>
      </c>
      <c r="M647" s="5">
        <f xml:space="preserve"> K647*L647</f>
        <v>90</v>
      </c>
      <c r="N647" s="14">
        <f xml:space="preserve"> M647 * $Q$3</f>
        <v>1.3499999999999999</v>
      </c>
      <c r="O647" s="5"/>
    </row>
    <row r="648" spans="1:15">
      <c r="A648" s="2">
        <v>647</v>
      </c>
      <c r="B648" s="4">
        <f>DAY(E648)</f>
        <v>21</v>
      </c>
      <c r="C648" s="4">
        <f>MONTH(E648)</f>
        <v>5</v>
      </c>
      <c r="D648" s="4">
        <f>YEAR(E648)</f>
        <v>2023</v>
      </c>
      <c r="E648" s="17">
        <v>45067</v>
      </c>
      <c r="F648" s="4" t="s">
        <v>670</v>
      </c>
      <c r="G648" s="4" t="s">
        <v>15</v>
      </c>
      <c r="H648" s="4">
        <v>59</v>
      </c>
      <c r="I648" s="4" t="str" cm="1">
        <f t="array" ref="I648">_xlfn.IFS(
  H648&lt;30,"Young Adult",
  H648&lt;50,"Adult",
  H648&gt;=50,"Senior"
)</f>
        <v>Senior</v>
      </c>
      <c r="J648" s="4" t="s">
        <v>20</v>
      </c>
      <c r="K648" s="4">
        <v>3</v>
      </c>
      <c r="L648" s="5">
        <v>500</v>
      </c>
      <c r="M648" s="5">
        <f xml:space="preserve"> K648*L648</f>
        <v>1500</v>
      </c>
      <c r="N648" s="14">
        <f xml:space="preserve"> M648 * $Q$3</f>
        <v>22.5</v>
      </c>
      <c r="O648" s="5"/>
    </row>
    <row r="649" spans="1:15">
      <c r="A649" s="2">
        <v>648</v>
      </c>
      <c r="B649" s="4">
        <f>DAY(E649)</f>
        <v>14</v>
      </c>
      <c r="C649" s="4">
        <f>MONTH(E649)</f>
        <v>8</v>
      </c>
      <c r="D649" s="4">
        <f>YEAR(E649)</f>
        <v>2023</v>
      </c>
      <c r="E649" s="3">
        <v>45152</v>
      </c>
      <c r="F649" s="4" t="s">
        <v>671</v>
      </c>
      <c r="G649" s="4" t="s">
        <v>15</v>
      </c>
      <c r="H649" s="4">
        <v>53</v>
      </c>
      <c r="I649" s="4" t="str" cm="1">
        <f t="array" ref="I649">_xlfn.IFS(
  H649&lt;30,"Young Adult",
  H649&lt;50,"Adult",
  H649&gt;=50,"Senior"
)</f>
        <v>Senior</v>
      </c>
      <c r="J649" s="4" t="s">
        <v>16</v>
      </c>
      <c r="K649" s="4">
        <v>4</v>
      </c>
      <c r="L649" s="5">
        <v>300</v>
      </c>
      <c r="M649" s="5">
        <f xml:space="preserve"> K649*L649</f>
        <v>1200</v>
      </c>
      <c r="N649" s="14">
        <f xml:space="preserve"> M649 * $Q$3</f>
        <v>18</v>
      </c>
      <c r="O649" s="5"/>
    </row>
    <row r="650" spans="1:15">
      <c r="A650" s="2">
        <v>649</v>
      </c>
      <c r="B650" s="4">
        <f>DAY(E650)</f>
        <v>9</v>
      </c>
      <c r="C650" s="4">
        <f>MONTH(E650)</f>
        <v>2</v>
      </c>
      <c r="D650" s="4">
        <f>YEAR(E650)</f>
        <v>2023</v>
      </c>
      <c r="E650" s="3">
        <v>44966</v>
      </c>
      <c r="F650" s="4" t="s">
        <v>672</v>
      </c>
      <c r="G650" s="4" t="s">
        <v>19</v>
      </c>
      <c r="H650" s="4">
        <v>58</v>
      </c>
      <c r="I650" s="4" t="str" cm="1">
        <f t="array" ref="I650">_xlfn.IFS(
  H650&lt;30,"Young Adult",
  H650&lt;50,"Adult",
  H650&gt;=50,"Senior"
)</f>
        <v>Senior</v>
      </c>
      <c r="J650" s="4" t="s">
        <v>20</v>
      </c>
      <c r="K650" s="4">
        <v>2</v>
      </c>
      <c r="L650" s="5">
        <v>300</v>
      </c>
      <c r="M650" s="5">
        <f xml:space="preserve"> K650*L650</f>
        <v>600</v>
      </c>
      <c r="N650" s="14">
        <f xml:space="preserve"> M650 * $Q$3</f>
        <v>9</v>
      </c>
      <c r="O650" s="5"/>
    </row>
    <row r="651" spans="1:15">
      <c r="A651" s="2">
        <v>650</v>
      </c>
      <c r="B651" s="4">
        <f>DAY(E651)</f>
        <v>1</v>
      </c>
      <c r="C651" s="4">
        <f>MONTH(E651)</f>
        <v>1</v>
      </c>
      <c r="D651" s="4">
        <f>YEAR(E651)</f>
        <v>2024</v>
      </c>
      <c r="E651" s="3">
        <v>45292</v>
      </c>
      <c r="F651" s="4" t="s">
        <v>673</v>
      </c>
      <c r="G651" s="4" t="s">
        <v>15</v>
      </c>
      <c r="H651" s="4">
        <v>55</v>
      </c>
      <c r="I651" s="4" t="str" cm="1">
        <f t="array" ref="I651">_xlfn.IFS(
  H651&lt;30,"Young Adult",
  H651&lt;50,"Adult",
  H651&gt;=50,"Senior"
)</f>
        <v>Senior</v>
      </c>
      <c r="J651" s="4" t="s">
        <v>23</v>
      </c>
      <c r="K651" s="4">
        <v>1</v>
      </c>
      <c r="L651" s="5">
        <v>30</v>
      </c>
      <c r="M651" s="5">
        <f xml:space="preserve"> K651*L651</f>
        <v>30</v>
      </c>
      <c r="N651" s="14">
        <f xml:space="preserve"> M651 * $Q$3</f>
        <v>0.44999999999999996</v>
      </c>
      <c r="O651" s="5"/>
    </row>
    <row r="652" spans="1:15">
      <c r="A652" s="2">
        <v>651</v>
      </c>
      <c r="B652" s="4">
        <f>DAY(E652)</f>
        <v>27</v>
      </c>
      <c r="C652" s="4">
        <f>MONTH(E652)</f>
        <v>5</v>
      </c>
      <c r="D652" s="4">
        <f>YEAR(E652)</f>
        <v>2023</v>
      </c>
      <c r="E652" s="17">
        <v>45073</v>
      </c>
      <c r="F652" s="4" t="s">
        <v>674</v>
      </c>
      <c r="G652" s="4" t="s">
        <v>15</v>
      </c>
      <c r="H652" s="4">
        <v>51</v>
      </c>
      <c r="I652" s="4" t="str" cm="1">
        <f t="array" ref="I652">_xlfn.IFS(
  H652&lt;30,"Young Adult",
  H652&lt;50,"Adult",
  H652&gt;=50,"Senior"
)</f>
        <v>Senior</v>
      </c>
      <c r="J652" s="4" t="s">
        <v>20</v>
      </c>
      <c r="K652" s="4">
        <v>3</v>
      </c>
      <c r="L652" s="5">
        <v>50</v>
      </c>
      <c r="M652" s="5">
        <f xml:space="preserve"> K652*L652</f>
        <v>150</v>
      </c>
      <c r="N652" s="14">
        <f xml:space="preserve"> M652 * $Q$3</f>
        <v>2.25</v>
      </c>
      <c r="O652" s="5"/>
    </row>
    <row r="653" spans="1:15">
      <c r="A653" s="2">
        <v>652</v>
      </c>
      <c r="B653" s="4">
        <f>DAY(E653)</f>
        <v>1</v>
      </c>
      <c r="C653" s="4">
        <f>MONTH(E653)</f>
        <v>5</v>
      </c>
      <c r="D653" s="4">
        <f>YEAR(E653)</f>
        <v>2023</v>
      </c>
      <c r="E653" s="17">
        <v>45047</v>
      </c>
      <c r="F653" s="4" t="s">
        <v>675</v>
      </c>
      <c r="G653" s="4" t="s">
        <v>19</v>
      </c>
      <c r="H653" s="4">
        <v>34</v>
      </c>
      <c r="I653" s="4" t="str" cm="1">
        <f t="array" ref="I653">_xlfn.IFS(
  H653&lt;30,"Young Adult",
  H653&lt;50,"Adult",
  H653&gt;=50,"Senior"
)</f>
        <v>Adult</v>
      </c>
      <c r="J653" s="4" t="s">
        <v>16</v>
      </c>
      <c r="K653" s="4">
        <v>2</v>
      </c>
      <c r="L653" s="5">
        <v>50</v>
      </c>
      <c r="M653" s="5">
        <f xml:space="preserve"> K653*L653</f>
        <v>100</v>
      </c>
      <c r="N653" s="14">
        <f xml:space="preserve"> M653 * $Q$3</f>
        <v>1.5</v>
      </c>
      <c r="O653" s="5"/>
    </row>
    <row r="654" spans="1:15">
      <c r="A654" s="2">
        <v>653</v>
      </c>
      <c r="B654" s="4">
        <f>DAY(E654)</f>
        <v>20</v>
      </c>
      <c r="C654" s="4">
        <f>MONTH(E654)</f>
        <v>5</v>
      </c>
      <c r="D654" s="4">
        <f>YEAR(E654)</f>
        <v>2023</v>
      </c>
      <c r="E654" s="17">
        <v>45066</v>
      </c>
      <c r="F654" s="4" t="s">
        <v>676</v>
      </c>
      <c r="G654" s="4" t="s">
        <v>15</v>
      </c>
      <c r="H654" s="4">
        <v>54</v>
      </c>
      <c r="I654" s="4" t="str" cm="1">
        <f t="array" ref="I654">_xlfn.IFS(
  H654&lt;30,"Young Adult",
  H654&lt;50,"Adult",
  H654&gt;=50,"Senior"
)</f>
        <v>Senior</v>
      </c>
      <c r="J654" s="4" t="s">
        <v>20</v>
      </c>
      <c r="K654" s="4">
        <v>3</v>
      </c>
      <c r="L654" s="5">
        <v>25</v>
      </c>
      <c r="M654" s="5">
        <f xml:space="preserve"> K654*L654</f>
        <v>75</v>
      </c>
      <c r="N654" s="14">
        <f xml:space="preserve"> M654 * $Q$3</f>
        <v>1.125</v>
      </c>
      <c r="O654" s="5"/>
    </row>
    <row r="655" spans="1:15">
      <c r="A655" s="2">
        <v>654</v>
      </c>
      <c r="B655" s="4">
        <f>DAY(E655)</f>
        <v>21</v>
      </c>
      <c r="C655" s="4">
        <f>MONTH(E655)</f>
        <v>6</v>
      </c>
      <c r="D655" s="4">
        <f>YEAR(E655)</f>
        <v>2023</v>
      </c>
      <c r="E655" s="3">
        <v>45098</v>
      </c>
      <c r="F655" s="4" t="s">
        <v>677</v>
      </c>
      <c r="G655" s="4" t="s">
        <v>15</v>
      </c>
      <c r="H655" s="4">
        <v>42</v>
      </c>
      <c r="I655" s="4" t="str" cm="1">
        <f t="array" ref="I655">_xlfn.IFS(
  H655&lt;30,"Young Adult",
  H655&lt;50,"Adult",
  H655&gt;=50,"Senior"
)</f>
        <v>Adult</v>
      </c>
      <c r="J655" s="4" t="s">
        <v>20</v>
      </c>
      <c r="K655" s="4">
        <v>3</v>
      </c>
      <c r="L655" s="5">
        <v>25</v>
      </c>
      <c r="M655" s="5">
        <f xml:space="preserve"> K655*L655</f>
        <v>75</v>
      </c>
      <c r="N655" s="14">
        <f xml:space="preserve"> M655 * $Q$3</f>
        <v>1.125</v>
      </c>
      <c r="O655" s="5"/>
    </row>
    <row r="656" spans="1:15">
      <c r="A656" s="2">
        <v>655</v>
      </c>
      <c r="B656" s="4">
        <f>DAY(E656)</f>
        <v>13</v>
      </c>
      <c r="C656" s="4">
        <f>MONTH(E656)</f>
        <v>6</v>
      </c>
      <c r="D656" s="4">
        <f>YEAR(E656)</f>
        <v>2023</v>
      </c>
      <c r="E656" s="3">
        <v>45090</v>
      </c>
      <c r="F656" s="4" t="s">
        <v>678</v>
      </c>
      <c r="G656" s="4" t="s">
        <v>19</v>
      </c>
      <c r="H656" s="4">
        <v>55</v>
      </c>
      <c r="I656" s="4" t="str" cm="1">
        <f t="array" ref="I656">_xlfn.IFS(
  H656&lt;30,"Young Adult",
  H656&lt;50,"Adult",
  H656&gt;=50,"Senior"
)</f>
        <v>Senior</v>
      </c>
      <c r="J656" s="4" t="s">
        <v>20</v>
      </c>
      <c r="K656" s="4">
        <v>1</v>
      </c>
      <c r="L656" s="5">
        <v>500</v>
      </c>
      <c r="M656" s="5">
        <f xml:space="preserve"> K656*L656</f>
        <v>500</v>
      </c>
      <c r="N656" s="14">
        <f xml:space="preserve"> M656 * $Q$3</f>
        <v>7.5</v>
      </c>
      <c r="O656" s="5"/>
    </row>
    <row r="657" spans="1:15">
      <c r="A657" s="2">
        <v>656</v>
      </c>
      <c r="B657" s="4">
        <f>DAY(E657)</f>
        <v>4</v>
      </c>
      <c r="C657" s="4">
        <f>MONTH(E657)</f>
        <v>10</v>
      </c>
      <c r="D657" s="4">
        <f>YEAR(E657)</f>
        <v>2023</v>
      </c>
      <c r="E657" s="3">
        <v>45203</v>
      </c>
      <c r="F657" s="4" t="s">
        <v>679</v>
      </c>
      <c r="G657" s="4" t="s">
        <v>15</v>
      </c>
      <c r="H657" s="4">
        <v>29</v>
      </c>
      <c r="I657" s="4" t="str" cm="1">
        <f t="array" ref="I657">_xlfn.IFS(
  H657&lt;30,"Young Adult",
  H657&lt;50,"Adult",
  H657&gt;=50,"Senior"
)</f>
        <v>Young Adult</v>
      </c>
      <c r="J657" s="4" t="s">
        <v>16</v>
      </c>
      <c r="K657" s="4">
        <v>3</v>
      </c>
      <c r="L657" s="5">
        <v>30</v>
      </c>
      <c r="M657" s="5">
        <f xml:space="preserve"> K657*L657</f>
        <v>90</v>
      </c>
      <c r="N657" s="14">
        <f xml:space="preserve"> M657 * $Q$3</f>
        <v>1.3499999999999999</v>
      </c>
      <c r="O657" s="5"/>
    </row>
    <row r="658" spans="1:15">
      <c r="A658" s="2">
        <v>657</v>
      </c>
      <c r="B658" s="4">
        <f>DAY(E658)</f>
        <v>11</v>
      </c>
      <c r="C658" s="4">
        <f>MONTH(E658)</f>
        <v>2</v>
      </c>
      <c r="D658" s="4">
        <f>YEAR(E658)</f>
        <v>2023</v>
      </c>
      <c r="E658" s="3">
        <v>44968</v>
      </c>
      <c r="F658" s="4" t="s">
        <v>680</v>
      </c>
      <c r="G658" s="4" t="s">
        <v>15</v>
      </c>
      <c r="H658" s="4">
        <v>40</v>
      </c>
      <c r="I658" s="4" t="str" cm="1">
        <f t="array" ref="I658">_xlfn.IFS(
  H658&lt;30,"Young Adult",
  H658&lt;50,"Adult",
  H658&gt;=50,"Senior"
)</f>
        <v>Adult</v>
      </c>
      <c r="J658" s="4" t="s">
        <v>20</v>
      </c>
      <c r="K658" s="4">
        <v>1</v>
      </c>
      <c r="L658" s="5">
        <v>25</v>
      </c>
      <c r="M658" s="5">
        <f xml:space="preserve"> K658*L658</f>
        <v>25</v>
      </c>
      <c r="N658" s="14">
        <f xml:space="preserve"> M658 * $Q$3</f>
        <v>0.375</v>
      </c>
      <c r="O658" s="5"/>
    </row>
    <row r="659" spans="1:15">
      <c r="A659" s="2">
        <v>658</v>
      </c>
      <c r="B659" s="4">
        <f>DAY(E659)</f>
        <v>12</v>
      </c>
      <c r="C659" s="4">
        <f>MONTH(E659)</f>
        <v>3</v>
      </c>
      <c r="D659" s="4">
        <f>YEAR(E659)</f>
        <v>2023</v>
      </c>
      <c r="E659" s="17">
        <v>44997</v>
      </c>
      <c r="F659" s="4" t="s">
        <v>681</v>
      </c>
      <c r="G659" s="4" t="s">
        <v>15</v>
      </c>
      <c r="H659" s="4">
        <v>59</v>
      </c>
      <c r="I659" s="4" t="str" cm="1">
        <f t="array" ref="I659">_xlfn.IFS(
  H659&lt;30,"Young Adult",
  H659&lt;50,"Adult",
  H659&gt;=50,"Senior"
)</f>
        <v>Senior</v>
      </c>
      <c r="J659" s="4" t="s">
        <v>20</v>
      </c>
      <c r="K659" s="4">
        <v>1</v>
      </c>
      <c r="L659" s="5">
        <v>25</v>
      </c>
      <c r="M659" s="5">
        <f xml:space="preserve"> K659*L659</f>
        <v>25</v>
      </c>
      <c r="N659" s="14">
        <f xml:space="preserve"> M659 * $Q$3</f>
        <v>0.375</v>
      </c>
      <c r="O659" s="5"/>
    </row>
    <row r="660" spans="1:15">
      <c r="A660" s="2">
        <v>659</v>
      </c>
      <c r="B660" s="4">
        <f>DAY(E660)</f>
        <v>19</v>
      </c>
      <c r="C660" s="4">
        <f>MONTH(E660)</f>
        <v>3</v>
      </c>
      <c r="D660" s="4">
        <f>YEAR(E660)</f>
        <v>2023</v>
      </c>
      <c r="E660" s="17">
        <v>45004</v>
      </c>
      <c r="F660" s="4" t="s">
        <v>682</v>
      </c>
      <c r="G660" s="4" t="s">
        <v>19</v>
      </c>
      <c r="H660" s="4">
        <v>39</v>
      </c>
      <c r="I660" s="4" t="str" cm="1">
        <f t="array" ref="I660">_xlfn.IFS(
  H660&lt;30,"Young Adult",
  H660&lt;50,"Adult",
  H660&gt;=50,"Senior"
)</f>
        <v>Adult</v>
      </c>
      <c r="J660" s="4" t="s">
        <v>23</v>
      </c>
      <c r="K660" s="4">
        <v>1</v>
      </c>
      <c r="L660" s="5">
        <v>30</v>
      </c>
      <c r="M660" s="5">
        <f xml:space="preserve"> K660*L660</f>
        <v>30</v>
      </c>
      <c r="N660" s="14">
        <f xml:space="preserve"> M660 * $Q$3</f>
        <v>0.44999999999999996</v>
      </c>
      <c r="O660" s="5"/>
    </row>
    <row r="661" spans="1:15">
      <c r="A661" s="2">
        <v>660</v>
      </c>
      <c r="B661" s="4">
        <f>DAY(E661)</f>
        <v>29</v>
      </c>
      <c r="C661" s="4">
        <f>MONTH(E661)</f>
        <v>4</v>
      </c>
      <c r="D661" s="4">
        <f>YEAR(E661)</f>
        <v>2023</v>
      </c>
      <c r="E661" s="17">
        <v>45045</v>
      </c>
      <c r="F661" s="4" t="s">
        <v>683</v>
      </c>
      <c r="G661" s="4" t="s">
        <v>19</v>
      </c>
      <c r="H661" s="4">
        <v>38</v>
      </c>
      <c r="I661" s="4" t="str" cm="1">
        <f t="array" ref="I661">_xlfn.IFS(
  H661&lt;30,"Young Adult",
  H661&lt;50,"Adult",
  H661&gt;=50,"Senior"
)</f>
        <v>Adult</v>
      </c>
      <c r="J661" s="4" t="s">
        <v>16</v>
      </c>
      <c r="K661" s="4">
        <v>2</v>
      </c>
      <c r="L661" s="5">
        <v>500</v>
      </c>
      <c r="M661" s="5">
        <f xml:space="preserve"> K661*L661</f>
        <v>1000</v>
      </c>
      <c r="N661" s="14">
        <f xml:space="preserve"> M661 * $Q$3</f>
        <v>15</v>
      </c>
      <c r="O661" s="5"/>
    </row>
    <row r="662" spans="1:15">
      <c r="A662" s="2">
        <v>661</v>
      </c>
      <c r="B662" s="4">
        <f>DAY(E662)</f>
        <v>16</v>
      </c>
      <c r="C662" s="4">
        <f>MONTH(E662)</f>
        <v>7</v>
      </c>
      <c r="D662" s="4">
        <f>YEAR(E662)</f>
        <v>2023</v>
      </c>
      <c r="E662" s="3">
        <v>45123</v>
      </c>
      <c r="F662" s="4" t="s">
        <v>684</v>
      </c>
      <c r="G662" s="4" t="s">
        <v>19</v>
      </c>
      <c r="H662" s="4">
        <v>44</v>
      </c>
      <c r="I662" s="4" t="str" cm="1">
        <f t="array" ref="I662">_xlfn.IFS(
  H662&lt;30,"Young Adult",
  H662&lt;50,"Adult",
  H662&gt;=50,"Senior"
)</f>
        <v>Adult</v>
      </c>
      <c r="J662" s="4" t="s">
        <v>20</v>
      </c>
      <c r="K662" s="4">
        <v>4</v>
      </c>
      <c r="L662" s="5">
        <v>25</v>
      </c>
      <c r="M662" s="5">
        <f xml:space="preserve"> K662*L662</f>
        <v>100</v>
      </c>
      <c r="N662" s="14">
        <f xml:space="preserve"> M662 * $Q$3</f>
        <v>1.5</v>
      </c>
      <c r="O662" s="5"/>
    </row>
    <row r="663" spans="1:15">
      <c r="A663" s="2">
        <v>662</v>
      </c>
      <c r="B663" s="4">
        <f>DAY(E663)</f>
        <v>22</v>
      </c>
      <c r="C663" s="4">
        <f>MONTH(E663)</f>
        <v>12</v>
      </c>
      <c r="D663" s="4">
        <f>YEAR(E663)</f>
        <v>2023</v>
      </c>
      <c r="E663" s="3">
        <v>45282</v>
      </c>
      <c r="F663" s="4" t="s">
        <v>685</v>
      </c>
      <c r="G663" s="4" t="s">
        <v>15</v>
      </c>
      <c r="H663" s="4">
        <v>48</v>
      </c>
      <c r="I663" s="4" t="str" cm="1">
        <f t="array" ref="I663">_xlfn.IFS(
  H663&lt;30,"Young Adult",
  H663&lt;50,"Adult",
  H663&gt;=50,"Senior"
)</f>
        <v>Adult</v>
      </c>
      <c r="J663" s="4" t="s">
        <v>16</v>
      </c>
      <c r="K663" s="4">
        <v>2</v>
      </c>
      <c r="L663" s="5">
        <v>500</v>
      </c>
      <c r="M663" s="5">
        <f xml:space="preserve"> K663*L663</f>
        <v>1000</v>
      </c>
      <c r="N663" s="14">
        <f xml:space="preserve"> M663 * $Q$3</f>
        <v>15</v>
      </c>
      <c r="O663" s="5"/>
    </row>
    <row r="664" spans="1:15">
      <c r="A664" s="2">
        <v>663</v>
      </c>
      <c r="B664" s="4">
        <f>DAY(E664)</f>
        <v>20</v>
      </c>
      <c r="C664" s="4">
        <f>MONTH(E664)</f>
        <v>3</v>
      </c>
      <c r="D664" s="4">
        <f>YEAR(E664)</f>
        <v>2023</v>
      </c>
      <c r="E664" s="17">
        <v>45005</v>
      </c>
      <c r="F664" s="4" t="s">
        <v>686</v>
      </c>
      <c r="G664" s="4" t="s">
        <v>15</v>
      </c>
      <c r="H664" s="4">
        <v>23</v>
      </c>
      <c r="I664" s="4" t="str" cm="1">
        <f t="array" ref="I664">_xlfn.IFS(
  H664&lt;30,"Young Adult",
  H664&lt;50,"Adult",
  H664&gt;=50,"Senior"
)</f>
        <v>Young Adult</v>
      </c>
      <c r="J664" s="4" t="s">
        <v>20</v>
      </c>
      <c r="K664" s="4">
        <v>4</v>
      </c>
      <c r="L664" s="5">
        <v>300</v>
      </c>
      <c r="M664" s="5">
        <f xml:space="preserve"> K664*L664</f>
        <v>1200</v>
      </c>
      <c r="N664" s="14">
        <f xml:space="preserve"> M664 * $Q$3</f>
        <v>18</v>
      </c>
      <c r="O664" s="5"/>
    </row>
    <row r="665" spans="1:15">
      <c r="A665" s="2">
        <v>664</v>
      </c>
      <c r="B665" s="4">
        <f>DAY(E665)</f>
        <v>28</v>
      </c>
      <c r="C665" s="4">
        <f>MONTH(E665)</f>
        <v>12</v>
      </c>
      <c r="D665" s="4">
        <f>YEAR(E665)</f>
        <v>2023</v>
      </c>
      <c r="E665" s="3">
        <v>45288</v>
      </c>
      <c r="F665" s="4" t="s">
        <v>687</v>
      </c>
      <c r="G665" s="4" t="s">
        <v>19</v>
      </c>
      <c r="H665" s="4">
        <v>44</v>
      </c>
      <c r="I665" s="4" t="str" cm="1">
        <f t="array" ref="I665">_xlfn.IFS(
  H665&lt;30,"Young Adult",
  H665&lt;50,"Adult",
  H665&gt;=50,"Senior"
)</f>
        <v>Adult</v>
      </c>
      <c r="J665" s="4" t="s">
        <v>20</v>
      </c>
      <c r="K665" s="4">
        <v>4</v>
      </c>
      <c r="L665" s="5">
        <v>500</v>
      </c>
      <c r="M665" s="5">
        <f xml:space="preserve"> K665*L665</f>
        <v>2000</v>
      </c>
      <c r="N665" s="14">
        <f xml:space="preserve"> M665 * $Q$3</f>
        <v>30</v>
      </c>
      <c r="O665" s="5"/>
    </row>
    <row r="666" spans="1:15">
      <c r="A666" s="2">
        <v>665</v>
      </c>
      <c r="B666" s="4">
        <f>DAY(E666)</f>
        <v>20</v>
      </c>
      <c r="C666" s="4">
        <f>MONTH(E666)</f>
        <v>4</v>
      </c>
      <c r="D666" s="4">
        <f>YEAR(E666)</f>
        <v>2023</v>
      </c>
      <c r="E666" s="17">
        <v>45036</v>
      </c>
      <c r="F666" s="4" t="s">
        <v>688</v>
      </c>
      <c r="G666" s="4" t="s">
        <v>15</v>
      </c>
      <c r="H666" s="4">
        <v>57</v>
      </c>
      <c r="I666" s="4" t="str" cm="1">
        <f t="array" ref="I666">_xlfn.IFS(
  H666&lt;30,"Young Adult",
  H666&lt;50,"Adult",
  H666&gt;=50,"Senior"
)</f>
        <v>Senior</v>
      </c>
      <c r="J666" s="4" t="s">
        <v>20</v>
      </c>
      <c r="K666" s="4">
        <v>1</v>
      </c>
      <c r="L666" s="5">
        <v>50</v>
      </c>
      <c r="M666" s="5">
        <f xml:space="preserve"> K666*L666</f>
        <v>50</v>
      </c>
      <c r="N666" s="14">
        <f xml:space="preserve"> M666 * $Q$3</f>
        <v>0.75</v>
      </c>
      <c r="O666" s="5"/>
    </row>
    <row r="667" spans="1:15">
      <c r="A667" s="2">
        <v>666</v>
      </c>
      <c r="B667" s="4">
        <f>DAY(E667)</f>
        <v>2</v>
      </c>
      <c r="C667" s="4">
        <f>MONTH(E667)</f>
        <v>2</v>
      </c>
      <c r="D667" s="4">
        <f>YEAR(E667)</f>
        <v>2023</v>
      </c>
      <c r="E667" s="3">
        <v>44959</v>
      </c>
      <c r="F667" s="4" t="s">
        <v>689</v>
      </c>
      <c r="G667" s="4" t="s">
        <v>15</v>
      </c>
      <c r="H667" s="4">
        <v>51</v>
      </c>
      <c r="I667" s="4" t="str" cm="1">
        <f t="array" ref="I667">_xlfn.IFS(
  H667&lt;30,"Young Adult",
  H667&lt;50,"Adult",
  H667&gt;=50,"Senior"
)</f>
        <v>Senior</v>
      </c>
      <c r="J667" s="4" t="s">
        <v>23</v>
      </c>
      <c r="K667" s="4">
        <v>3</v>
      </c>
      <c r="L667" s="5">
        <v>50</v>
      </c>
      <c r="M667" s="5">
        <f xml:space="preserve"> K667*L667</f>
        <v>150</v>
      </c>
      <c r="N667" s="14">
        <f xml:space="preserve"> M667 * $Q$3</f>
        <v>2.25</v>
      </c>
      <c r="O667" s="5"/>
    </row>
    <row r="668" spans="1:15">
      <c r="A668" s="2">
        <v>667</v>
      </c>
      <c r="B668" s="4">
        <f>DAY(E668)</f>
        <v>1</v>
      </c>
      <c r="C668" s="4">
        <f>MONTH(E668)</f>
        <v>8</v>
      </c>
      <c r="D668" s="4">
        <f>YEAR(E668)</f>
        <v>2023</v>
      </c>
      <c r="E668" s="3">
        <v>45139</v>
      </c>
      <c r="F668" s="4" t="s">
        <v>690</v>
      </c>
      <c r="G668" s="4" t="s">
        <v>19</v>
      </c>
      <c r="H668" s="4">
        <v>29</v>
      </c>
      <c r="I668" s="4" t="str" cm="1">
        <f t="array" ref="I668">_xlfn.IFS(
  H668&lt;30,"Young Adult",
  H668&lt;50,"Adult",
  H668&gt;=50,"Senior"
)</f>
        <v>Young Adult</v>
      </c>
      <c r="J668" s="4" t="s">
        <v>23</v>
      </c>
      <c r="K668" s="4">
        <v>1</v>
      </c>
      <c r="L668" s="5">
        <v>500</v>
      </c>
      <c r="M668" s="5">
        <f xml:space="preserve"> K668*L668</f>
        <v>500</v>
      </c>
      <c r="N668" s="14">
        <f xml:space="preserve"> M668 * $Q$3</f>
        <v>7.5</v>
      </c>
      <c r="O668" s="5"/>
    </row>
    <row r="669" spans="1:15">
      <c r="A669" s="2">
        <v>668</v>
      </c>
      <c r="B669" s="4">
        <f>DAY(E669)</f>
        <v>28</v>
      </c>
      <c r="C669" s="4">
        <f>MONTH(E669)</f>
        <v>7</v>
      </c>
      <c r="D669" s="4">
        <f>YEAR(E669)</f>
        <v>2023</v>
      </c>
      <c r="E669" s="3">
        <v>45135</v>
      </c>
      <c r="F669" s="4" t="s">
        <v>691</v>
      </c>
      <c r="G669" s="4" t="s">
        <v>19</v>
      </c>
      <c r="H669" s="4">
        <v>62</v>
      </c>
      <c r="I669" s="4" t="str" cm="1">
        <f t="array" ref="I669">_xlfn.IFS(
  H669&lt;30,"Young Adult",
  H669&lt;50,"Adult",
  H669&gt;=50,"Senior"
)</f>
        <v>Senior</v>
      </c>
      <c r="J669" s="4" t="s">
        <v>23</v>
      </c>
      <c r="K669" s="4">
        <v>3</v>
      </c>
      <c r="L669" s="5">
        <v>50</v>
      </c>
      <c r="M669" s="5">
        <f xml:space="preserve"> K669*L669</f>
        <v>150</v>
      </c>
      <c r="N669" s="14">
        <f xml:space="preserve"> M669 * $Q$3</f>
        <v>2.25</v>
      </c>
      <c r="O669" s="5"/>
    </row>
    <row r="670" spans="1:15">
      <c r="A670" s="2">
        <v>669</v>
      </c>
      <c r="B670" s="4">
        <f>DAY(E670)</f>
        <v>19</v>
      </c>
      <c r="C670" s="4">
        <f>MONTH(E670)</f>
        <v>6</v>
      </c>
      <c r="D670" s="4">
        <f>YEAR(E670)</f>
        <v>2023</v>
      </c>
      <c r="E670" s="3">
        <v>45096</v>
      </c>
      <c r="F670" s="4" t="s">
        <v>692</v>
      </c>
      <c r="G670" s="4" t="s">
        <v>15</v>
      </c>
      <c r="H670" s="4">
        <v>24</v>
      </c>
      <c r="I670" s="4" t="str" cm="1">
        <f t="array" ref="I670">_xlfn.IFS(
  H670&lt;30,"Young Adult",
  H670&lt;50,"Adult",
  H670&gt;=50,"Senior"
)</f>
        <v>Young Adult</v>
      </c>
      <c r="J670" s="4" t="s">
        <v>16</v>
      </c>
      <c r="K670" s="4">
        <v>4</v>
      </c>
      <c r="L670" s="5">
        <v>300</v>
      </c>
      <c r="M670" s="5">
        <f xml:space="preserve"> K670*L670</f>
        <v>1200</v>
      </c>
      <c r="N670" s="14">
        <f xml:space="preserve"> M670 * $Q$3</f>
        <v>18</v>
      </c>
      <c r="O670" s="5"/>
    </row>
    <row r="671" spans="1:15">
      <c r="A671" s="2">
        <v>670</v>
      </c>
      <c r="B671" s="4">
        <f>DAY(E671)</f>
        <v>5</v>
      </c>
      <c r="C671" s="4">
        <f>MONTH(E671)</f>
        <v>10</v>
      </c>
      <c r="D671" s="4">
        <f>YEAR(E671)</f>
        <v>2023</v>
      </c>
      <c r="E671" s="3">
        <v>45204</v>
      </c>
      <c r="F671" s="4" t="s">
        <v>693</v>
      </c>
      <c r="G671" s="4" t="s">
        <v>15</v>
      </c>
      <c r="H671" s="4">
        <v>27</v>
      </c>
      <c r="I671" s="4" t="str" cm="1">
        <f t="array" ref="I671">_xlfn.IFS(
  H671&lt;30,"Young Adult",
  H671&lt;50,"Adult",
  H671&gt;=50,"Senior"
)</f>
        <v>Young Adult</v>
      </c>
      <c r="J671" s="4" t="s">
        <v>16</v>
      </c>
      <c r="K671" s="4">
        <v>1</v>
      </c>
      <c r="L671" s="5">
        <v>30</v>
      </c>
      <c r="M671" s="5">
        <f xml:space="preserve"> K671*L671</f>
        <v>30</v>
      </c>
      <c r="N671" s="14">
        <f xml:space="preserve"> M671 * $Q$3</f>
        <v>0.44999999999999996</v>
      </c>
      <c r="O671" s="5"/>
    </row>
    <row r="672" spans="1:15">
      <c r="A672" s="2">
        <v>671</v>
      </c>
      <c r="B672" s="4">
        <f>DAY(E672)</f>
        <v>27</v>
      </c>
      <c r="C672" s="4">
        <f>MONTH(E672)</f>
        <v>8</v>
      </c>
      <c r="D672" s="4">
        <f>YEAR(E672)</f>
        <v>2023</v>
      </c>
      <c r="E672" s="3">
        <v>45165</v>
      </c>
      <c r="F672" s="4" t="s">
        <v>694</v>
      </c>
      <c r="G672" s="4" t="s">
        <v>15</v>
      </c>
      <c r="H672" s="4">
        <v>62</v>
      </c>
      <c r="I672" s="4" t="str" cm="1">
        <f t="array" ref="I672">_xlfn.IFS(
  H672&lt;30,"Young Adult",
  H672&lt;50,"Adult",
  H672&gt;=50,"Senior"
)</f>
        <v>Senior</v>
      </c>
      <c r="J672" s="4" t="s">
        <v>23</v>
      </c>
      <c r="K672" s="4">
        <v>3</v>
      </c>
      <c r="L672" s="5">
        <v>50</v>
      </c>
      <c r="M672" s="5">
        <f xml:space="preserve"> K672*L672</f>
        <v>150</v>
      </c>
      <c r="N672" s="14">
        <f xml:space="preserve"> M672 * $Q$3</f>
        <v>2.25</v>
      </c>
      <c r="O672" s="5"/>
    </row>
    <row r="673" spans="1:15">
      <c r="A673" s="2">
        <v>672</v>
      </c>
      <c r="B673" s="4">
        <f>DAY(E673)</f>
        <v>1</v>
      </c>
      <c r="C673" s="4">
        <f>MONTH(E673)</f>
        <v>8</v>
      </c>
      <c r="D673" s="4">
        <f>YEAR(E673)</f>
        <v>2023</v>
      </c>
      <c r="E673" s="3">
        <v>45139</v>
      </c>
      <c r="F673" s="4" t="s">
        <v>695</v>
      </c>
      <c r="G673" s="4" t="s">
        <v>19</v>
      </c>
      <c r="H673" s="4">
        <v>34</v>
      </c>
      <c r="I673" s="4" t="str" cm="1">
        <f t="array" ref="I673">_xlfn.IFS(
  H673&lt;30,"Young Adult",
  H673&lt;50,"Adult",
  H673&gt;=50,"Senior"
)</f>
        <v>Adult</v>
      </c>
      <c r="J673" s="4" t="s">
        <v>16</v>
      </c>
      <c r="K673" s="4">
        <v>2</v>
      </c>
      <c r="L673" s="5">
        <v>50</v>
      </c>
      <c r="M673" s="5">
        <f xml:space="preserve"> K673*L673</f>
        <v>100</v>
      </c>
      <c r="N673" s="14">
        <f xml:space="preserve"> M673 * $Q$3</f>
        <v>1.5</v>
      </c>
      <c r="O673" s="5"/>
    </row>
    <row r="674" spans="1:15">
      <c r="A674" s="2">
        <v>673</v>
      </c>
      <c r="B674" s="4">
        <f>DAY(E674)</f>
        <v>1</v>
      </c>
      <c r="C674" s="4">
        <f>MONTH(E674)</f>
        <v>2</v>
      </c>
      <c r="D674" s="4">
        <f>YEAR(E674)</f>
        <v>2023</v>
      </c>
      <c r="E674" s="3">
        <v>44958</v>
      </c>
      <c r="F674" s="4" t="s">
        <v>696</v>
      </c>
      <c r="G674" s="4" t="s">
        <v>19</v>
      </c>
      <c r="H674" s="4">
        <v>43</v>
      </c>
      <c r="I674" s="4" t="str" cm="1">
        <f t="array" ref="I674">_xlfn.IFS(
  H674&lt;30,"Young Adult",
  H674&lt;50,"Adult",
  H674&gt;=50,"Senior"
)</f>
        <v>Adult</v>
      </c>
      <c r="J674" s="4" t="s">
        <v>20</v>
      </c>
      <c r="K674" s="4">
        <v>3</v>
      </c>
      <c r="L674" s="5">
        <v>500</v>
      </c>
      <c r="M674" s="5">
        <f xml:space="preserve"> K674*L674</f>
        <v>1500</v>
      </c>
      <c r="N674" s="14">
        <f xml:space="preserve"> M674 * $Q$3</f>
        <v>22.5</v>
      </c>
      <c r="O674" s="5"/>
    </row>
    <row r="675" spans="1:15">
      <c r="A675" s="2">
        <v>674</v>
      </c>
      <c r="B675" s="4">
        <f>DAY(E675)</f>
        <v>16</v>
      </c>
      <c r="C675" s="4">
        <f>MONTH(E675)</f>
        <v>4</v>
      </c>
      <c r="D675" s="4">
        <f>YEAR(E675)</f>
        <v>2023</v>
      </c>
      <c r="E675" s="17">
        <v>45032</v>
      </c>
      <c r="F675" s="4" t="s">
        <v>697</v>
      </c>
      <c r="G675" s="4" t="s">
        <v>19</v>
      </c>
      <c r="H675" s="4">
        <v>38</v>
      </c>
      <c r="I675" s="4" t="str" cm="1">
        <f t="array" ref="I675">_xlfn.IFS(
  H675&lt;30,"Young Adult",
  H675&lt;50,"Adult",
  H675&gt;=50,"Senior"
)</f>
        <v>Adult</v>
      </c>
      <c r="J675" s="4" t="s">
        <v>20</v>
      </c>
      <c r="K675" s="4">
        <v>1</v>
      </c>
      <c r="L675" s="5">
        <v>300</v>
      </c>
      <c r="M675" s="5">
        <f xml:space="preserve"> K675*L675</f>
        <v>300</v>
      </c>
      <c r="N675" s="14">
        <f xml:space="preserve"> M675 * $Q$3</f>
        <v>4.5</v>
      </c>
      <c r="O675" s="5"/>
    </row>
    <row r="676" spans="1:15">
      <c r="A676" s="2">
        <v>675</v>
      </c>
      <c r="B676" s="4">
        <f>DAY(E676)</f>
        <v>4</v>
      </c>
      <c r="C676" s="4">
        <f>MONTH(E676)</f>
        <v>8</v>
      </c>
      <c r="D676" s="4">
        <f>YEAR(E676)</f>
        <v>2023</v>
      </c>
      <c r="E676" s="3">
        <v>45142</v>
      </c>
      <c r="F676" s="4" t="s">
        <v>698</v>
      </c>
      <c r="G676" s="4" t="s">
        <v>19</v>
      </c>
      <c r="H676" s="4">
        <v>45</v>
      </c>
      <c r="I676" s="4" t="str" cm="1">
        <f t="array" ref="I676">_xlfn.IFS(
  H676&lt;30,"Young Adult",
  H676&lt;50,"Adult",
  H676&gt;=50,"Senior"
)</f>
        <v>Adult</v>
      </c>
      <c r="J676" s="4" t="s">
        <v>20</v>
      </c>
      <c r="K676" s="4">
        <v>2</v>
      </c>
      <c r="L676" s="5">
        <v>30</v>
      </c>
      <c r="M676" s="5">
        <f xml:space="preserve"> K676*L676</f>
        <v>60</v>
      </c>
      <c r="N676" s="14">
        <f xml:space="preserve"> M676 * $Q$3</f>
        <v>0.89999999999999991</v>
      </c>
      <c r="O676" s="5"/>
    </row>
    <row r="677" spans="1:15">
      <c r="A677" s="2">
        <v>676</v>
      </c>
      <c r="B677" s="4">
        <f>DAY(E677)</f>
        <v>19</v>
      </c>
      <c r="C677" s="4">
        <f>MONTH(E677)</f>
        <v>7</v>
      </c>
      <c r="D677" s="4">
        <f>YEAR(E677)</f>
        <v>2023</v>
      </c>
      <c r="E677" s="3">
        <v>45126</v>
      </c>
      <c r="F677" s="4" t="s">
        <v>699</v>
      </c>
      <c r="G677" s="4" t="s">
        <v>15</v>
      </c>
      <c r="H677" s="4">
        <v>63</v>
      </c>
      <c r="I677" s="4" t="str" cm="1">
        <f t="array" ref="I677">_xlfn.IFS(
  H677&lt;30,"Young Adult",
  H677&lt;50,"Adult",
  H677&gt;=50,"Senior"
)</f>
        <v>Senior</v>
      </c>
      <c r="J677" s="4" t="s">
        <v>23</v>
      </c>
      <c r="K677" s="4">
        <v>3</v>
      </c>
      <c r="L677" s="5">
        <v>500</v>
      </c>
      <c r="M677" s="5">
        <f xml:space="preserve"> K677*L677</f>
        <v>1500</v>
      </c>
      <c r="N677" s="14">
        <f xml:space="preserve"> M677 * $Q$3</f>
        <v>22.5</v>
      </c>
      <c r="O677" s="5"/>
    </row>
    <row r="678" spans="1:15">
      <c r="A678" s="2">
        <v>677</v>
      </c>
      <c r="B678" s="4">
        <f>DAY(E678)</f>
        <v>27</v>
      </c>
      <c r="C678" s="4">
        <f>MONTH(E678)</f>
        <v>10</v>
      </c>
      <c r="D678" s="4">
        <f>YEAR(E678)</f>
        <v>2023</v>
      </c>
      <c r="E678" s="3">
        <v>45226</v>
      </c>
      <c r="F678" s="4" t="s">
        <v>700</v>
      </c>
      <c r="G678" s="4" t="s">
        <v>19</v>
      </c>
      <c r="H678" s="4">
        <v>19</v>
      </c>
      <c r="I678" s="4" t="str" cm="1">
        <f t="array" ref="I678">_xlfn.IFS(
  H678&lt;30,"Young Adult",
  H678&lt;50,"Adult",
  H678&gt;=50,"Senior"
)</f>
        <v>Young Adult</v>
      </c>
      <c r="J678" s="4" t="s">
        <v>16</v>
      </c>
      <c r="K678" s="4">
        <v>3</v>
      </c>
      <c r="L678" s="5">
        <v>500</v>
      </c>
      <c r="M678" s="5">
        <f xml:space="preserve"> K678*L678</f>
        <v>1500</v>
      </c>
      <c r="N678" s="14">
        <f xml:space="preserve"> M678 * $Q$3</f>
        <v>22.5</v>
      </c>
      <c r="O678" s="5"/>
    </row>
    <row r="679" spans="1:15">
      <c r="A679" s="2">
        <v>678</v>
      </c>
      <c r="B679" s="4">
        <f>DAY(E679)</f>
        <v>23</v>
      </c>
      <c r="C679" s="4">
        <f>MONTH(E679)</f>
        <v>12</v>
      </c>
      <c r="D679" s="4">
        <f>YEAR(E679)</f>
        <v>2023</v>
      </c>
      <c r="E679" s="3">
        <v>45283</v>
      </c>
      <c r="F679" s="4" t="s">
        <v>701</v>
      </c>
      <c r="G679" s="4" t="s">
        <v>19</v>
      </c>
      <c r="H679" s="4">
        <v>60</v>
      </c>
      <c r="I679" s="4" t="str" cm="1">
        <f t="array" ref="I679">_xlfn.IFS(
  H679&lt;30,"Young Adult",
  H679&lt;50,"Adult",
  H679&gt;=50,"Senior"
)</f>
        <v>Senior</v>
      </c>
      <c r="J679" s="4" t="s">
        <v>23</v>
      </c>
      <c r="K679" s="4">
        <v>3</v>
      </c>
      <c r="L679" s="5">
        <v>300</v>
      </c>
      <c r="M679" s="5">
        <f xml:space="preserve"> K679*L679</f>
        <v>900</v>
      </c>
      <c r="N679" s="14">
        <f xml:space="preserve"> M679 * $Q$3</f>
        <v>13.5</v>
      </c>
      <c r="O679" s="5"/>
    </row>
    <row r="680" spans="1:15">
      <c r="A680" s="2">
        <v>679</v>
      </c>
      <c r="B680" s="4">
        <f>DAY(E680)</f>
        <v>11</v>
      </c>
      <c r="C680" s="4">
        <f>MONTH(E680)</f>
        <v>1</v>
      </c>
      <c r="D680" s="4">
        <f>YEAR(E680)</f>
        <v>2023</v>
      </c>
      <c r="E680" s="3">
        <v>44937</v>
      </c>
      <c r="F680" s="4" t="s">
        <v>702</v>
      </c>
      <c r="G680" s="4" t="s">
        <v>19</v>
      </c>
      <c r="H680" s="4">
        <v>18</v>
      </c>
      <c r="I680" s="4" t="str" cm="1">
        <f t="array" ref="I680">_xlfn.IFS(
  H680&lt;30,"Young Adult",
  H680&lt;50,"Adult",
  H680&gt;=50,"Senior"
)</f>
        <v>Young Adult</v>
      </c>
      <c r="J680" s="4" t="s">
        <v>16</v>
      </c>
      <c r="K680" s="4">
        <v>3</v>
      </c>
      <c r="L680" s="5">
        <v>30</v>
      </c>
      <c r="M680" s="5">
        <f xml:space="preserve"> K680*L680</f>
        <v>90</v>
      </c>
      <c r="N680" s="14">
        <f xml:space="preserve"> M680 * $Q$3</f>
        <v>1.3499999999999999</v>
      </c>
      <c r="O680" s="5"/>
    </row>
    <row r="681" spans="1:15">
      <c r="A681" s="2">
        <v>680</v>
      </c>
      <c r="B681" s="4">
        <f>DAY(E681)</f>
        <v>22</v>
      </c>
      <c r="C681" s="4">
        <f>MONTH(E681)</f>
        <v>10</v>
      </c>
      <c r="D681" s="4">
        <f>YEAR(E681)</f>
        <v>2023</v>
      </c>
      <c r="E681" s="3">
        <v>45221</v>
      </c>
      <c r="F681" s="4" t="s">
        <v>703</v>
      </c>
      <c r="G681" s="4" t="s">
        <v>19</v>
      </c>
      <c r="H681" s="4">
        <v>53</v>
      </c>
      <c r="I681" s="4" t="str" cm="1">
        <f t="array" ref="I681">_xlfn.IFS(
  H681&lt;30,"Young Adult",
  H681&lt;50,"Adult",
  H681&gt;=50,"Senior"
)</f>
        <v>Senior</v>
      </c>
      <c r="J681" s="4" t="s">
        <v>20</v>
      </c>
      <c r="K681" s="4">
        <v>3</v>
      </c>
      <c r="L681" s="5">
        <v>300</v>
      </c>
      <c r="M681" s="5">
        <f xml:space="preserve"> K681*L681</f>
        <v>900</v>
      </c>
      <c r="N681" s="14">
        <f xml:space="preserve"> M681 * $Q$3</f>
        <v>13.5</v>
      </c>
      <c r="O681" s="5"/>
    </row>
    <row r="682" spans="1:15">
      <c r="A682" s="2">
        <v>681</v>
      </c>
      <c r="B682" s="4">
        <f>DAY(E682)</f>
        <v>14</v>
      </c>
      <c r="C682" s="4">
        <f>MONTH(E682)</f>
        <v>7</v>
      </c>
      <c r="D682" s="4">
        <f>YEAR(E682)</f>
        <v>2023</v>
      </c>
      <c r="E682" s="3">
        <v>45121</v>
      </c>
      <c r="F682" s="4" t="s">
        <v>704</v>
      </c>
      <c r="G682" s="4" t="s">
        <v>19</v>
      </c>
      <c r="H682" s="4">
        <v>43</v>
      </c>
      <c r="I682" s="4" t="str" cm="1">
        <f t="array" ref="I682">_xlfn.IFS(
  H682&lt;30,"Young Adult",
  H682&lt;50,"Adult",
  H682&gt;=50,"Senior"
)</f>
        <v>Adult</v>
      </c>
      <c r="J682" s="4" t="s">
        <v>23</v>
      </c>
      <c r="K682" s="4">
        <v>2</v>
      </c>
      <c r="L682" s="5">
        <v>30</v>
      </c>
      <c r="M682" s="5">
        <f xml:space="preserve"> K682*L682</f>
        <v>60</v>
      </c>
      <c r="N682" s="14">
        <f xml:space="preserve"> M682 * $Q$3</f>
        <v>0.89999999999999991</v>
      </c>
      <c r="O682" s="5"/>
    </row>
    <row r="683" spans="1:15">
      <c r="A683" s="2">
        <v>682</v>
      </c>
      <c r="B683" s="4">
        <f>DAY(E683)</f>
        <v>2</v>
      </c>
      <c r="C683" s="4">
        <f>MONTH(E683)</f>
        <v>9</v>
      </c>
      <c r="D683" s="4">
        <f>YEAR(E683)</f>
        <v>2023</v>
      </c>
      <c r="E683" s="3">
        <v>45171</v>
      </c>
      <c r="F683" s="4" t="s">
        <v>705</v>
      </c>
      <c r="G683" s="4" t="s">
        <v>15</v>
      </c>
      <c r="H683" s="4">
        <v>46</v>
      </c>
      <c r="I683" s="4" t="str" cm="1">
        <f t="array" ref="I683">_xlfn.IFS(
  H683&lt;30,"Young Adult",
  H683&lt;50,"Adult",
  H683&gt;=50,"Senior"
)</f>
        <v>Adult</v>
      </c>
      <c r="J683" s="4" t="s">
        <v>16</v>
      </c>
      <c r="K683" s="4">
        <v>4</v>
      </c>
      <c r="L683" s="5">
        <v>300</v>
      </c>
      <c r="M683" s="5">
        <f xml:space="preserve"> K683*L683</f>
        <v>1200</v>
      </c>
      <c r="N683" s="14">
        <f xml:space="preserve"> M683 * $Q$3</f>
        <v>18</v>
      </c>
      <c r="O683" s="5"/>
    </row>
    <row r="684" spans="1:15">
      <c r="A684" s="2">
        <v>683</v>
      </c>
      <c r="B684" s="4">
        <f>DAY(E684)</f>
        <v>4</v>
      </c>
      <c r="C684" s="4">
        <f>MONTH(E684)</f>
        <v>1</v>
      </c>
      <c r="D684" s="4">
        <f>YEAR(E684)</f>
        <v>2023</v>
      </c>
      <c r="E684" s="3">
        <v>44930</v>
      </c>
      <c r="F684" s="4" t="s">
        <v>706</v>
      </c>
      <c r="G684" s="4" t="s">
        <v>15</v>
      </c>
      <c r="H684" s="4">
        <v>38</v>
      </c>
      <c r="I684" s="4" t="str" cm="1">
        <f t="array" ref="I684">_xlfn.IFS(
  H684&lt;30,"Young Adult",
  H684&lt;50,"Adult",
  H684&gt;=50,"Senior"
)</f>
        <v>Adult</v>
      </c>
      <c r="J684" s="4" t="s">
        <v>16</v>
      </c>
      <c r="K684" s="4">
        <v>2</v>
      </c>
      <c r="L684" s="5">
        <v>500</v>
      </c>
      <c r="M684" s="5">
        <f xml:space="preserve"> K684*L684</f>
        <v>1000</v>
      </c>
      <c r="N684" s="14">
        <f xml:space="preserve"> M684 * $Q$3</f>
        <v>15</v>
      </c>
      <c r="O684" s="5"/>
    </row>
    <row r="685" spans="1:15">
      <c r="A685" s="2">
        <v>684</v>
      </c>
      <c r="B685" s="4">
        <f>DAY(E685)</f>
        <v>30</v>
      </c>
      <c r="C685" s="4">
        <f>MONTH(E685)</f>
        <v>6</v>
      </c>
      <c r="D685" s="4">
        <f>YEAR(E685)</f>
        <v>2023</v>
      </c>
      <c r="E685" s="3">
        <v>45107</v>
      </c>
      <c r="F685" s="4" t="s">
        <v>707</v>
      </c>
      <c r="G685" s="4" t="s">
        <v>19</v>
      </c>
      <c r="H685" s="4">
        <v>28</v>
      </c>
      <c r="I685" s="4" t="str" cm="1">
        <f t="array" ref="I685">_xlfn.IFS(
  H685&lt;30,"Young Adult",
  H685&lt;50,"Adult",
  H685&gt;=50,"Senior"
)</f>
        <v>Young Adult</v>
      </c>
      <c r="J685" s="4" t="s">
        <v>20</v>
      </c>
      <c r="K685" s="4">
        <v>2</v>
      </c>
      <c r="L685" s="5">
        <v>500</v>
      </c>
      <c r="M685" s="5">
        <f xml:space="preserve"> K685*L685</f>
        <v>1000</v>
      </c>
      <c r="N685" s="14">
        <f xml:space="preserve"> M685 * $Q$3</f>
        <v>15</v>
      </c>
      <c r="O685" s="5"/>
    </row>
    <row r="686" spans="1:15">
      <c r="A686" s="2">
        <v>685</v>
      </c>
      <c r="B686" s="4">
        <f>DAY(E686)</f>
        <v>2</v>
      </c>
      <c r="C686" s="4">
        <f>MONTH(E686)</f>
        <v>6</v>
      </c>
      <c r="D686" s="4">
        <f>YEAR(E686)</f>
        <v>2023</v>
      </c>
      <c r="E686" s="3">
        <v>45079</v>
      </c>
      <c r="F686" s="4" t="s">
        <v>708</v>
      </c>
      <c r="G686" s="4" t="s">
        <v>15</v>
      </c>
      <c r="H686" s="4">
        <v>57</v>
      </c>
      <c r="I686" s="4" t="str" cm="1">
        <f t="array" ref="I686">_xlfn.IFS(
  H686&lt;30,"Young Adult",
  H686&lt;50,"Adult",
  H686&gt;=50,"Senior"
)</f>
        <v>Senior</v>
      </c>
      <c r="J686" s="4" t="s">
        <v>23</v>
      </c>
      <c r="K686" s="4">
        <v>2</v>
      </c>
      <c r="L686" s="5">
        <v>25</v>
      </c>
      <c r="M686" s="5">
        <f xml:space="preserve"> K686*L686</f>
        <v>50</v>
      </c>
      <c r="N686" s="14">
        <f xml:space="preserve"> M686 * $Q$3</f>
        <v>0.75</v>
      </c>
      <c r="O686" s="5"/>
    </row>
    <row r="687" spans="1:15">
      <c r="A687" s="2">
        <v>686</v>
      </c>
      <c r="B687" s="4">
        <f>DAY(E687)</f>
        <v>19</v>
      </c>
      <c r="C687" s="4">
        <f>MONTH(E687)</f>
        <v>7</v>
      </c>
      <c r="D687" s="4">
        <f>YEAR(E687)</f>
        <v>2023</v>
      </c>
      <c r="E687" s="3">
        <v>45126</v>
      </c>
      <c r="F687" s="4" t="s">
        <v>709</v>
      </c>
      <c r="G687" s="4" t="s">
        <v>19</v>
      </c>
      <c r="H687" s="4">
        <v>28</v>
      </c>
      <c r="I687" s="4" t="str" cm="1">
        <f t="array" ref="I687">_xlfn.IFS(
  H687&lt;30,"Young Adult",
  H687&lt;50,"Adult",
  H687&gt;=50,"Senior"
)</f>
        <v>Young Adult</v>
      </c>
      <c r="J687" s="4" t="s">
        <v>23</v>
      </c>
      <c r="K687" s="4">
        <v>4</v>
      </c>
      <c r="L687" s="5">
        <v>50</v>
      </c>
      <c r="M687" s="5">
        <f xml:space="preserve"> K687*L687</f>
        <v>200</v>
      </c>
      <c r="N687" s="14">
        <f xml:space="preserve"> M687 * $Q$3</f>
        <v>3</v>
      </c>
      <c r="O687" s="5"/>
    </row>
    <row r="688" spans="1:15">
      <c r="A688" s="2">
        <v>687</v>
      </c>
      <c r="B688" s="4">
        <f>DAY(E688)</f>
        <v>3</v>
      </c>
      <c r="C688" s="4">
        <f>MONTH(E688)</f>
        <v>8</v>
      </c>
      <c r="D688" s="4">
        <f>YEAR(E688)</f>
        <v>2023</v>
      </c>
      <c r="E688" s="3">
        <v>45141</v>
      </c>
      <c r="F688" s="4" t="s">
        <v>710</v>
      </c>
      <c r="G688" s="4" t="s">
        <v>19</v>
      </c>
      <c r="H688" s="4">
        <v>53</v>
      </c>
      <c r="I688" s="4" t="str" cm="1">
        <f t="array" ref="I688">_xlfn.IFS(
  H688&lt;30,"Young Adult",
  H688&lt;50,"Adult",
  H688&gt;=50,"Senior"
)</f>
        <v>Senior</v>
      </c>
      <c r="J688" s="4" t="s">
        <v>23</v>
      </c>
      <c r="K688" s="4">
        <v>1</v>
      </c>
      <c r="L688" s="5">
        <v>300</v>
      </c>
      <c r="M688" s="5">
        <f xml:space="preserve"> K688*L688</f>
        <v>300</v>
      </c>
      <c r="N688" s="14">
        <f xml:space="preserve"> M688 * $Q$3</f>
        <v>4.5</v>
      </c>
      <c r="O688" s="5"/>
    </row>
    <row r="689" spans="1:15">
      <c r="A689" s="2">
        <v>688</v>
      </c>
      <c r="B689" s="4">
        <f>DAY(E689)</f>
        <v>3</v>
      </c>
      <c r="C689" s="4">
        <f>MONTH(E689)</f>
        <v>10</v>
      </c>
      <c r="D689" s="4">
        <f>YEAR(E689)</f>
        <v>2023</v>
      </c>
      <c r="E689" s="3">
        <v>45202</v>
      </c>
      <c r="F689" s="4" t="s">
        <v>711</v>
      </c>
      <c r="G689" s="4" t="s">
        <v>15</v>
      </c>
      <c r="H689" s="4">
        <v>56</v>
      </c>
      <c r="I689" s="4" t="str" cm="1">
        <f t="array" ref="I689">_xlfn.IFS(
  H689&lt;30,"Young Adult",
  H689&lt;50,"Adult",
  H689&gt;=50,"Senior"
)</f>
        <v>Senior</v>
      </c>
      <c r="J689" s="4" t="s">
        <v>20</v>
      </c>
      <c r="K689" s="4">
        <v>4</v>
      </c>
      <c r="L689" s="5">
        <v>25</v>
      </c>
      <c r="M689" s="5">
        <f xml:space="preserve"> K689*L689</f>
        <v>100</v>
      </c>
      <c r="N689" s="14">
        <f xml:space="preserve"> M689 * $Q$3</f>
        <v>1.5</v>
      </c>
      <c r="O689" s="5"/>
    </row>
    <row r="690" spans="1:15">
      <c r="A690" s="2">
        <v>689</v>
      </c>
      <c r="B690" s="4">
        <f>DAY(E690)</f>
        <v>7</v>
      </c>
      <c r="C690" s="4">
        <f>MONTH(E690)</f>
        <v>10</v>
      </c>
      <c r="D690" s="4">
        <f>YEAR(E690)</f>
        <v>2023</v>
      </c>
      <c r="E690" s="3">
        <v>45206</v>
      </c>
      <c r="F690" s="4" t="s">
        <v>712</v>
      </c>
      <c r="G690" s="4" t="s">
        <v>15</v>
      </c>
      <c r="H690" s="4">
        <v>57</v>
      </c>
      <c r="I690" s="4" t="str" cm="1">
        <f t="array" ref="I690">_xlfn.IFS(
  H690&lt;30,"Young Adult",
  H690&lt;50,"Adult",
  H690&gt;=50,"Senior"
)</f>
        <v>Senior</v>
      </c>
      <c r="J690" s="4" t="s">
        <v>23</v>
      </c>
      <c r="K690" s="4">
        <v>2</v>
      </c>
      <c r="L690" s="5">
        <v>50</v>
      </c>
      <c r="M690" s="5">
        <f xml:space="preserve"> K690*L690</f>
        <v>100</v>
      </c>
      <c r="N690" s="14">
        <f xml:space="preserve"> M690 * $Q$3</f>
        <v>1.5</v>
      </c>
      <c r="O690" s="5"/>
    </row>
    <row r="691" spans="1:15">
      <c r="A691" s="2">
        <v>690</v>
      </c>
      <c r="B691" s="4">
        <f>DAY(E691)</f>
        <v>5</v>
      </c>
      <c r="C691" s="4">
        <f>MONTH(E691)</f>
        <v>11</v>
      </c>
      <c r="D691" s="4">
        <f>YEAR(E691)</f>
        <v>2023</v>
      </c>
      <c r="E691" s="3">
        <v>45235</v>
      </c>
      <c r="F691" s="4" t="s">
        <v>713</v>
      </c>
      <c r="G691" s="4" t="s">
        <v>19</v>
      </c>
      <c r="H691" s="4">
        <v>52</v>
      </c>
      <c r="I691" s="4" t="str" cm="1">
        <f t="array" ref="I691">_xlfn.IFS(
  H691&lt;30,"Young Adult",
  H691&lt;50,"Adult",
  H691&gt;=50,"Senior"
)</f>
        <v>Senior</v>
      </c>
      <c r="J691" s="4" t="s">
        <v>20</v>
      </c>
      <c r="K691" s="4">
        <v>3</v>
      </c>
      <c r="L691" s="5">
        <v>300</v>
      </c>
      <c r="M691" s="5">
        <f xml:space="preserve"> K691*L691</f>
        <v>900</v>
      </c>
      <c r="N691" s="14">
        <f xml:space="preserve"> M691 * $Q$3</f>
        <v>13.5</v>
      </c>
      <c r="O691" s="5"/>
    </row>
    <row r="692" spans="1:15">
      <c r="A692" s="2">
        <v>691</v>
      </c>
      <c r="B692" s="4">
        <f>DAY(E692)</f>
        <v>23</v>
      </c>
      <c r="C692" s="4">
        <f>MONTH(E692)</f>
        <v>4</v>
      </c>
      <c r="D692" s="4">
        <f>YEAR(E692)</f>
        <v>2023</v>
      </c>
      <c r="E692" s="17">
        <v>45039</v>
      </c>
      <c r="F692" s="4" t="s">
        <v>714</v>
      </c>
      <c r="G692" s="4" t="s">
        <v>19</v>
      </c>
      <c r="H692" s="4">
        <v>51</v>
      </c>
      <c r="I692" s="4" t="str" cm="1">
        <f t="array" ref="I692">_xlfn.IFS(
  H692&lt;30,"Young Adult",
  H692&lt;50,"Adult",
  H692&gt;=50,"Senior"
)</f>
        <v>Senior</v>
      </c>
      <c r="J692" s="4" t="s">
        <v>20</v>
      </c>
      <c r="K692" s="4">
        <v>3</v>
      </c>
      <c r="L692" s="5">
        <v>30</v>
      </c>
      <c r="M692" s="5">
        <f xml:space="preserve"> K692*L692</f>
        <v>90</v>
      </c>
      <c r="N692" s="14">
        <f xml:space="preserve"> M692 * $Q$3</f>
        <v>1.3499999999999999</v>
      </c>
      <c r="O692" s="5"/>
    </row>
    <row r="693" spans="1:15">
      <c r="A693" s="2">
        <v>692</v>
      </c>
      <c r="B693" s="4">
        <f>DAY(E693)</f>
        <v>7</v>
      </c>
      <c r="C693" s="4">
        <f>MONTH(E693)</f>
        <v>9</v>
      </c>
      <c r="D693" s="4">
        <f>YEAR(E693)</f>
        <v>2023</v>
      </c>
      <c r="E693" s="3">
        <v>45176</v>
      </c>
      <c r="F693" s="4" t="s">
        <v>715</v>
      </c>
      <c r="G693" s="4" t="s">
        <v>19</v>
      </c>
      <c r="H693" s="4">
        <v>64</v>
      </c>
      <c r="I693" s="4" t="str" cm="1">
        <f t="array" ref="I693">_xlfn.IFS(
  H693&lt;30,"Young Adult",
  H693&lt;50,"Adult",
  H693&gt;=50,"Senior"
)</f>
        <v>Senior</v>
      </c>
      <c r="J693" s="4" t="s">
        <v>20</v>
      </c>
      <c r="K693" s="4">
        <v>2</v>
      </c>
      <c r="L693" s="5">
        <v>50</v>
      </c>
      <c r="M693" s="5">
        <f xml:space="preserve"> K693*L693</f>
        <v>100</v>
      </c>
      <c r="N693" s="14">
        <f xml:space="preserve"> M693 * $Q$3</f>
        <v>1.5</v>
      </c>
      <c r="O693" s="5"/>
    </row>
    <row r="694" spans="1:15">
      <c r="A694" s="2">
        <v>693</v>
      </c>
      <c r="B694" s="4">
        <f>DAY(E694)</f>
        <v>23</v>
      </c>
      <c r="C694" s="4">
        <f>MONTH(E694)</f>
        <v>4</v>
      </c>
      <c r="D694" s="4">
        <f>YEAR(E694)</f>
        <v>2023</v>
      </c>
      <c r="E694" s="17">
        <v>45039</v>
      </c>
      <c r="F694" s="4" t="s">
        <v>716</v>
      </c>
      <c r="G694" s="4" t="s">
        <v>15</v>
      </c>
      <c r="H694" s="4">
        <v>41</v>
      </c>
      <c r="I694" s="4" t="str" cm="1">
        <f t="array" ref="I694">_xlfn.IFS(
  H694&lt;30,"Young Adult",
  H694&lt;50,"Adult",
  H694&gt;=50,"Senior"
)</f>
        <v>Adult</v>
      </c>
      <c r="J694" s="4" t="s">
        <v>16</v>
      </c>
      <c r="K694" s="4">
        <v>3</v>
      </c>
      <c r="L694" s="5">
        <v>500</v>
      </c>
      <c r="M694" s="5">
        <f xml:space="preserve"> K694*L694</f>
        <v>1500</v>
      </c>
      <c r="N694" s="14">
        <f xml:space="preserve"> M694 * $Q$3</f>
        <v>22.5</v>
      </c>
      <c r="O694" s="5"/>
    </row>
    <row r="695" spans="1:15">
      <c r="A695" s="2">
        <v>694</v>
      </c>
      <c r="B695" s="4">
        <f>DAY(E695)</f>
        <v>20</v>
      </c>
      <c r="C695" s="4">
        <f>MONTH(E695)</f>
        <v>5</v>
      </c>
      <c r="D695" s="4">
        <f>YEAR(E695)</f>
        <v>2023</v>
      </c>
      <c r="E695" s="17">
        <v>45066</v>
      </c>
      <c r="F695" s="4" t="s">
        <v>717</v>
      </c>
      <c r="G695" s="4" t="s">
        <v>19</v>
      </c>
      <c r="H695" s="4">
        <v>39</v>
      </c>
      <c r="I695" s="4" t="str" cm="1">
        <f t="array" ref="I695">_xlfn.IFS(
  H695&lt;30,"Young Adult",
  H695&lt;50,"Adult",
  H695&gt;=50,"Senior"
)</f>
        <v>Adult</v>
      </c>
      <c r="J695" s="4" t="s">
        <v>23</v>
      </c>
      <c r="K695" s="4">
        <v>2</v>
      </c>
      <c r="L695" s="5">
        <v>25</v>
      </c>
      <c r="M695" s="5">
        <f xml:space="preserve"> K695*L695</f>
        <v>50</v>
      </c>
      <c r="N695" s="14">
        <f xml:space="preserve"> M695 * $Q$3</f>
        <v>0.75</v>
      </c>
      <c r="O695" s="5"/>
    </row>
    <row r="696" spans="1:15">
      <c r="A696" s="2">
        <v>695</v>
      </c>
      <c r="B696" s="4">
        <f>DAY(E696)</f>
        <v>12</v>
      </c>
      <c r="C696" s="4">
        <f>MONTH(E696)</f>
        <v>8</v>
      </c>
      <c r="D696" s="4">
        <f>YEAR(E696)</f>
        <v>2023</v>
      </c>
      <c r="E696" s="3">
        <v>45150</v>
      </c>
      <c r="F696" s="4" t="s">
        <v>718</v>
      </c>
      <c r="G696" s="4" t="s">
        <v>19</v>
      </c>
      <c r="H696" s="4">
        <v>22</v>
      </c>
      <c r="I696" s="4" t="str" cm="1">
        <f t="array" ref="I696">_xlfn.IFS(
  H696&lt;30,"Young Adult",
  H696&lt;50,"Adult",
  H696&gt;=50,"Senior"
)</f>
        <v>Young Adult</v>
      </c>
      <c r="J696" s="4" t="s">
        <v>23</v>
      </c>
      <c r="K696" s="4">
        <v>3</v>
      </c>
      <c r="L696" s="5">
        <v>50</v>
      </c>
      <c r="M696" s="5">
        <f xml:space="preserve"> K696*L696</f>
        <v>150</v>
      </c>
      <c r="N696" s="14">
        <f xml:space="preserve"> M696 * $Q$3</f>
        <v>2.25</v>
      </c>
      <c r="O696" s="5"/>
    </row>
    <row r="697" spans="1:15">
      <c r="A697" s="2">
        <v>696</v>
      </c>
      <c r="B697" s="4">
        <f>DAY(E697)</f>
        <v>6</v>
      </c>
      <c r="C697" s="4">
        <f>MONTH(E697)</f>
        <v>9</v>
      </c>
      <c r="D697" s="4">
        <f>YEAR(E697)</f>
        <v>2023</v>
      </c>
      <c r="E697" s="3">
        <v>45175</v>
      </c>
      <c r="F697" s="4" t="s">
        <v>719</v>
      </c>
      <c r="G697" s="4" t="s">
        <v>19</v>
      </c>
      <c r="H697" s="4">
        <v>50</v>
      </c>
      <c r="I697" s="4" t="str" cm="1">
        <f t="array" ref="I697">_xlfn.IFS(
  H697&lt;30,"Young Adult",
  H697&lt;50,"Adult",
  H697&gt;=50,"Senior"
)</f>
        <v>Senior</v>
      </c>
      <c r="J697" s="4" t="s">
        <v>20</v>
      </c>
      <c r="K697" s="4">
        <v>4</v>
      </c>
      <c r="L697" s="5">
        <v>50</v>
      </c>
      <c r="M697" s="5">
        <f xml:space="preserve"> K697*L697</f>
        <v>200</v>
      </c>
      <c r="N697" s="14">
        <f xml:space="preserve"> M697 * $Q$3</f>
        <v>3</v>
      </c>
      <c r="O697" s="5"/>
    </row>
    <row r="698" spans="1:15">
      <c r="A698" s="2">
        <v>697</v>
      </c>
      <c r="B698" s="4">
        <f>DAY(E698)</f>
        <v>15</v>
      </c>
      <c r="C698" s="4">
        <f>MONTH(E698)</f>
        <v>1</v>
      </c>
      <c r="D698" s="4">
        <f>YEAR(E698)</f>
        <v>2023</v>
      </c>
      <c r="E698" s="3">
        <v>44941</v>
      </c>
      <c r="F698" s="4" t="s">
        <v>720</v>
      </c>
      <c r="G698" s="4" t="s">
        <v>15</v>
      </c>
      <c r="H698" s="4">
        <v>53</v>
      </c>
      <c r="I698" s="4" t="str" cm="1">
        <f t="array" ref="I698">_xlfn.IFS(
  H698&lt;30,"Young Adult",
  H698&lt;50,"Adult",
  H698&gt;=50,"Senior"
)</f>
        <v>Senior</v>
      </c>
      <c r="J698" s="4" t="s">
        <v>20</v>
      </c>
      <c r="K698" s="4">
        <v>1</v>
      </c>
      <c r="L698" s="5">
        <v>500</v>
      </c>
      <c r="M698" s="5">
        <f xml:space="preserve"> K698*L698</f>
        <v>500</v>
      </c>
      <c r="N698" s="14">
        <f xml:space="preserve"> M698 * $Q$3</f>
        <v>7.5</v>
      </c>
      <c r="O698" s="5"/>
    </row>
    <row r="699" spans="1:15">
      <c r="A699" s="2">
        <v>698</v>
      </c>
      <c r="B699" s="4">
        <f>DAY(E699)</f>
        <v>19</v>
      </c>
      <c r="C699" s="4">
        <f>MONTH(E699)</f>
        <v>7</v>
      </c>
      <c r="D699" s="4">
        <f>YEAR(E699)</f>
        <v>2023</v>
      </c>
      <c r="E699" s="3">
        <v>45126</v>
      </c>
      <c r="F699" s="4" t="s">
        <v>721</v>
      </c>
      <c r="G699" s="4" t="s">
        <v>19</v>
      </c>
      <c r="H699" s="4">
        <v>64</v>
      </c>
      <c r="I699" s="4" t="str" cm="1">
        <f t="array" ref="I699">_xlfn.IFS(
  H699&lt;30,"Young Adult",
  H699&lt;50,"Adult",
  H699&gt;=50,"Senior"
)</f>
        <v>Senior</v>
      </c>
      <c r="J699" s="4" t="s">
        <v>23</v>
      </c>
      <c r="K699" s="4">
        <v>1</v>
      </c>
      <c r="L699" s="5">
        <v>300</v>
      </c>
      <c r="M699" s="5">
        <f xml:space="preserve"> K699*L699</f>
        <v>300</v>
      </c>
      <c r="N699" s="14">
        <f xml:space="preserve"> M699 * $Q$3</f>
        <v>4.5</v>
      </c>
      <c r="O699" s="5"/>
    </row>
    <row r="700" spans="1:15">
      <c r="A700" s="2">
        <v>699</v>
      </c>
      <c r="B700" s="4">
        <f>DAY(E700)</f>
        <v>22</v>
      </c>
      <c r="C700" s="4">
        <f>MONTH(E700)</f>
        <v>6</v>
      </c>
      <c r="D700" s="4">
        <f>YEAR(E700)</f>
        <v>2023</v>
      </c>
      <c r="E700" s="3">
        <v>45099</v>
      </c>
      <c r="F700" s="4" t="s">
        <v>722</v>
      </c>
      <c r="G700" s="4" t="s">
        <v>19</v>
      </c>
      <c r="H700" s="4">
        <v>37</v>
      </c>
      <c r="I700" s="4" t="str" cm="1">
        <f t="array" ref="I700">_xlfn.IFS(
  H700&lt;30,"Young Adult",
  H700&lt;50,"Adult",
  H700&gt;=50,"Senior"
)</f>
        <v>Adult</v>
      </c>
      <c r="J700" s="4" t="s">
        <v>20</v>
      </c>
      <c r="K700" s="4">
        <v>4</v>
      </c>
      <c r="L700" s="5">
        <v>30</v>
      </c>
      <c r="M700" s="5">
        <f xml:space="preserve"> K700*L700</f>
        <v>120</v>
      </c>
      <c r="N700" s="14">
        <f xml:space="preserve"> M700 * $Q$3</f>
        <v>1.7999999999999998</v>
      </c>
      <c r="O700" s="5"/>
    </row>
    <row r="701" spans="1:15">
      <c r="A701" s="2">
        <v>700</v>
      </c>
      <c r="B701" s="4">
        <f>DAY(E701)</f>
        <v>9</v>
      </c>
      <c r="C701" s="4">
        <f>MONTH(E701)</f>
        <v>12</v>
      </c>
      <c r="D701" s="4">
        <f>YEAR(E701)</f>
        <v>2023</v>
      </c>
      <c r="E701" s="3">
        <v>45269</v>
      </c>
      <c r="F701" s="4" t="s">
        <v>723</v>
      </c>
      <c r="G701" s="4" t="s">
        <v>15</v>
      </c>
      <c r="H701" s="4">
        <v>36</v>
      </c>
      <c r="I701" s="4" t="str" cm="1">
        <f t="array" ref="I701">_xlfn.IFS(
  H701&lt;30,"Young Adult",
  H701&lt;50,"Adult",
  H701&gt;=50,"Senior"
)</f>
        <v>Adult</v>
      </c>
      <c r="J701" s="4" t="s">
        <v>23</v>
      </c>
      <c r="K701" s="4">
        <v>4</v>
      </c>
      <c r="L701" s="5">
        <v>500</v>
      </c>
      <c r="M701" s="5">
        <f xml:space="preserve"> K701*L701</f>
        <v>2000</v>
      </c>
      <c r="N701" s="14">
        <f xml:space="preserve"> M701 * $Q$3</f>
        <v>30</v>
      </c>
      <c r="O701" s="5"/>
    </row>
    <row r="702" spans="1:15">
      <c r="A702" s="2">
        <v>701</v>
      </c>
      <c r="B702" s="4">
        <f>DAY(E702)</f>
        <v>14</v>
      </c>
      <c r="C702" s="4">
        <f>MONTH(E702)</f>
        <v>12</v>
      </c>
      <c r="D702" s="4">
        <f>YEAR(E702)</f>
        <v>2023</v>
      </c>
      <c r="E702" s="3">
        <v>45274</v>
      </c>
      <c r="F702" s="4" t="s">
        <v>724</v>
      </c>
      <c r="G702" s="4" t="s">
        <v>19</v>
      </c>
      <c r="H702" s="4">
        <v>52</v>
      </c>
      <c r="I702" s="4" t="str" cm="1">
        <f t="array" ref="I702">_xlfn.IFS(
  H702&lt;30,"Young Adult",
  H702&lt;50,"Adult",
  H702&gt;=50,"Senior"
)</f>
        <v>Senior</v>
      </c>
      <c r="J702" s="4" t="s">
        <v>16</v>
      </c>
      <c r="K702" s="4">
        <v>2</v>
      </c>
      <c r="L702" s="5">
        <v>30</v>
      </c>
      <c r="M702" s="5">
        <f xml:space="preserve"> K702*L702</f>
        <v>60</v>
      </c>
      <c r="N702" s="14">
        <f xml:space="preserve"> M702 * $Q$3</f>
        <v>0.89999999999999991</v>
      </c>
      <c r="O702" s="5"/>
    </row>
    <row r="703" spans="1:15">
      <c r="A703" s="2">
        <v>702</v>
      </c>
      <c r="B703" s="4">
        <f>DAY(E703)</f>
        <v>27</v>
      </c>
      <c r="C703" s="4">
        <f>MONTH(E703)</f>
        <v>7</v>
      </c>
      <c r="D703" s="4">
        <f>YEAR(E703)</f>
        <v>2023</v>
      </c>
      <c r="E703" s="3">
        <v>45134</v>
      </c>
      <c r="F703" s="4" t="s">
        <v>725</v>
      </c>
      <c r="G703" s="4" t="s">
        <v>19</v>
      </c>
      <c r="H703" s="4">
        <v>60</v>
      </c>
      <c r="I703" s="4" t="str" cm="1">
        <f t="array" ref="I703">_xlfn.IFS(
  H703&lt;30,"Young Adult",
  H703&lt;50,"Adult",
  H703&gt;=50,"Senior"
)</f>
        <v>Senior</v>
      </c>
      <c r="J703" s="4" t="s">
        <v>20</v>
      </c>
      <c r="K703" s="4">
        <v>2</v>
      </c>
      <c r="L703" s="5">
        <v>300</v>
      </c>
      <c r="M703" s="5">
        <f xml:space="preserve"> K703*L703</f>
        <v>600</v>
      </c>
      <c r="N703" s="14">
        <f xml:space="preserve"> M703 * $Q$3</f>
        <v>9</v>
      </c>
      <c r="O703" s="5"/>
    </row>
    <row r="704" spans="1:15">
      <c r="A704" s="2">
        <v>703</v>
      </c>
      <c r="B704" s="4">
        <f>DAY(E704)</f>
        <v>26</v>
      </c>
      <c r="C704" s="4">
        <f>MONTH(E704)</f>
        <v>3</v>
      </c>
      <c r="D704" s="4">
        <f>YEAR(E704)</f>
        <v>2023</v>
      </c>
      <c r="E704" s="17">
        <v>45011</v>
      </c>
      <c r="F704" s="4" t="s">
        <v>726</v>
      </c>
      <c r="G704" s="4" t="s">
        <v>15</v>
      </c>
      <c r="H704" s="4">
        <v>34</v>
      </c>
      <c r="I704" s="4" t="str" cm="1">
        <f t="array" ref="I704">_xlfn.IFS(
  H704&lt;30,"Young Adult",
  H704&lt;50,"Adult",
  H704&gt;=50,"Senior"
)</f>
        <v>Adult</v>
      </c>
      <c r="J704" s="4" t="s">
        <v>23</v>
      </c>
      <c r="K704" s="4">
        <v>2</v>
      </c>
      <c r="L704" s="5">
        <v>50</v>
      </c>
      <c r="M704" s="5">
        <f xml:space="preserve"> K704*L704</f>
        <v>100</v>
      </c>
      <c r="N704" s="14">
        <f xml:space="preserve"> M704 * $Q$3</f>
        <v>1.5</v>
      </c>
      <c r="O704" s="5"/>
    </row>
    <row r="705" spans="1:15">
      <c r="A705" s="2">
        <v>704</v>
      </c>
      <c r="B705" s="4">
        <f>DAY(E705)</f>
        <v>28</v>
      </c>
      <c r="C705" s="4">
        <f>MONTH(E705)</f>
        <v>8</v>
      </c>
      <c r="D705" s="4">
        <f>YEAR(E705)</f>
        <v>2023</v>
      </c>
      <c r="E705" s="3">
        <v>45166</v>
      </c>
      <c r="F705" s="4" t="s">
        <v>727</v>
      </c>
      <c r="G705" s="4" t="s">
        <v>19</v>
      </c>
      <c r="H705" s="4">
        <v>62</v>
      </c>
      <c r="I705" s="4" t="str" cm="1">
        <f t="array" ref="I705">_xlfn.IFS(
  H705&lt;30,"Young Adult",
  H705&lt;50,"Adult",
  H705&gt;=50,"Senior"
)</f>
        <v>Senior</v>
      </c>
      <c r="J705" s="4" t="s">
        <v>20</v>
      </c>
      <c r="K705" s="4">
        <v>3</v>
      </c>
      <c r="L705" s="5">
        <v>30</v>
      </c>
      <c r="M705" s="5">
        <f xml:space="preserve"> K705*L705</f>
        <v>90</v>
      </c>
      <c r="N705" s="14">
        <f xml:space="preserve"> M705 * $Q$3</f>
        <v>1.3499999999999999</v>
      </c>
      <c r="O705" s="5"/>
    </row>
    <row r="706" spans="1:15">
      <c r="A706" s="2">
        <v>705</v>
      </c>
      <c r="B706" s="4">
        <f>DAY(E706)</f>
        <v>7</v>
      </c>
      <c r="C706" s="4">
        <f>MONTH(E706)</f>
        <v>3</v>
      </c>
      <c r="D706" s="4">
        <f>YEAR(E706)</f>
        <v>2023</v>
      </c>
      <c r="E706" s="17">
        <v>44992</v>
      </c>
      <c r="F706" s="4" t="s">
        <v>728</v>
      </c>
      <c r="G706" s="4" t="s">
        <v>15</v>
      </c>
      <c r="H706" s="4">
        <v>60</v>
      </c>
      <c r="I706" s="4" t="str" cm="1">
        <f t="array" ref="I706">_xlfn.IFS(
  H706&lt;30,"Young Adult",
  H706&lt;50,"Adult",
  H706&gt;=50,"Senior"
)</f>
        <v>Senior</v>
      </c>
      <c r="J706" s="4" t="s">
        <v>23</v>
      </c>
      <c r="K706" s="4">
        <v>2</v>
      </c>
      <c r="L706" s="5">
        <v>25</v>
      </c>
      <c r="M706" s="5">
        <f xml:space="preserve"> K706*L706</f>
        <v>50</v>
      </c>
      <c r="N706" s="14">
        <f xml:space="preserve"> M706 * $Q$3</f>
        <v>0.75</v>
      </c>
      <c r="O706" s="5"/>
    </row>
    <row r="707" spans="1:15">
      <c r="A707" s="2">
        <v>706</v>
      </c>
      <c r="B707" s="4">
        <f>DAY(E707)</f>
        <v>15</v>
      </c>
      <c r="C707" s="4">
        <f>MONTH(E707)</f>
        <v>11</v>
      </c>
      <c r="D707" s="4">
        <f>YEAR(E707)</f>
        <v>2023</v>
      </c>
      <c r="E707" s="3">
        <v>45245</v>
      </c>
      <c r="F707" s="4" t="s">
        <v>729</v>
      </c>
      <c r="G707" s="4" t="s">
        <v>15</v>
      </c>
      <c r="H707" s="4">
        <v>51</v>
      </c>
      <c r="I707" s="4" t="str" cm="1">
        <f t="array" ref="I707">_xlfn.IFS(
  H707&lt;30,"Young Adult",
  H707&lt;50,"Adult",
  H707&gt;=50,"Senior"
)</f>
        <v>Senior</v>
      </c>
      <c r="J707" s="4" t="s">
        <v>23</v>
      </c>
      <c r="K707" s="4">
        <v>4</v>
      </c>
      <c r="L707" s="5">
        <v>25</v>
      </c>
      <c r="M707" s="5">
        <f xml:space="preserve"> K707*L707</f>
        <v>100</v>
      </c>
      <c r="N707" s="14">
        <f xml:space="preserve"> M707 * $Q$3</f>
        <v>1.5</v>
      </c>
      <c r="O707" s="5"/>
    </row>
    <row r="708" spans="1:15">
      <c r="A708" s="2">
        <v>707</v>
      </c>
      <c r="B708" s="4">
        <f>DAY(E708)</f>
        <v>1</v>
      </c>
      <c r="C708" s="4">
        <f>MONTH(E708)</f>
        <v>10</v>
      </c>
      <c r="D708" s="4">
        <f>YEAR(E708)</f>
        <v>2023</v>
      </c>
      <c r="E708" s="3">
        <v>45200</v>
      </c>
      <c r="F708" s="4" t="s">
        <v>730</v>
      </c>
      <c r="G708" s="4" t="s">
        <v>19</v>
      </c>
      <c r="H708" s="4">
        <v>26</v>
      </c>
      <c r="I708" s="4" t="str" cm="1">
        <f t="array" ref="I708">_xlfn.IFS(
  H708&lt;30,"Young Adult",
  H708&lt;50,"Adult",
  H708&gt;=50,"Senior"
)</f>
        <v>Young Adult</v>
      </c>
      <c r="J708" s="4" t="s">
        <v>20</v>
      </c>
      <c r="K708" s="4">
        <v>1</v>
      </c>
      <c r="L708" s="5">
        <v>500</v>
      </c>
      <c r="M708" s="5">
        <f xml:space="preserve"> K708*L708</f>
        <v>500</v>
      </c>
      <c r="N708" s="14">
        <f xml:space="preserve"> M708 * $Q$3</f>
        <v>7.5</v>
      </c>
      <c r="O708" s="5"/>
    </row>
    <row r="709" spans="1:15">
      <c r="A709" s="2">
        <v>708</v>
      </c>
      <c r="B709" s="4">
        <f>DAY(E709)</f>
        <v>14</v>
      </c>
      <c r="C709" s="4">
        <f>MONTH(E709)</f>
        <v>1</v>
      </c>
      <c r="D709" s="4">
        <f>YEAR(E709)</f>
        <v>2023</v>
      </c>
      <c r="E709" s="3">
        <v>44940</v>
      </c>
      <c r="F709" s="4" t="s">
        <v>731</v>
      </c>
      <c r="G709" s="4" t="s">
        <v>19</v>
      </c>
      <c r="H709" s="4">
        <v>43</v>
      </c>
      <c r="I709" s="4" t="str" cm="1">
        <f t="array" ref="I709">_xlfn.IFS(
  H709&lt;30,"Young Adult",
  H709&lt;50,"Adult",
  H709&gt;=50,"Senior"
)</f>
        <v>Adult</v>
      </c>
      <c r="J709" s="4" t="s">
        <v>16</v>
      </c>
      <c r="K709" s="4">
        <v>3</v>
      </c>
      <c r="L709" s="5">
        <v>300</v>
      </c>
      <c r="M709" s="5">
        <f xml:space="preserve"> K709*L709</f>
        <v>900</v>
      </c>
      <c r="N709" s="14">
        <f xml:space="preserve"> M709 * $Q$3</f>
        <v>13.5</v>
      </c>
      <c r="O709" s="5"/>
    </row>
    <row r="710" spans="1:15">
      <c r="A710" s="2">
        <v>709</v>
      </c>
      <c r="B710" s="4">
        <f>DAY(E710)</f>
        <v>21</v>
      </c>
      <c r="C710" s="4">
        <f>MONTH(E710)</f>
        <v>7</v>
      </c>
      <c r="D710" s="4">
        <f>YEAR(E710)</f>
        <v>2023</v>
      </c>
      <c r="E710" s="3">
        <v>45128</v>
      </c>
      <c r="F710" s="4" t="s">
        <v>732</v>
      </c>
      <c r="G710" s="4" t="s">
        <v>19</v>
      </c>
      <c r="H710" s="4">
        <v>19</v>
      </c>
      <c r="I710" s="4" t="str" cm="1">
        <f t="array" ref="I710">_xlfn.IFS(
  H710&lt;30,"Young Adult",
  H710&lt;50,"Adult",
  H710&gt;=50,"Senior"
)</f>
        <v>Young Adult</v>
      </c>
      <c r="J710" s="4" t="s">
        <v>23</v>
      </c>
      <c r="K710" s="4">
        <v>2</v>
      </c>
      <c r="L710" s="5">
        <v>500</v>
      </c>
      <c r="M710" s="5">
        <f xml:space="preserve"> K710*L710</f>
        <v>1000</v>
      </c>
      <c r="N710" s="14">
        <f xml:space="preserve"> M710 * $Q$3</f>
        <v>15</v>
      </c>
      <c r="O710" s="5"/>
    </row>
    <row r="711" spans="1:15">
      <c r="A711" s="2">
        <v>710</v>
      </c>
      <c r="B711" s="4">
        <f>DAY(E711)</f>
        <v>31</v>
      </c>
      <c r="C711" s="4">
        <f>MONTH(E711)</f>
        <v>10</v>
      </c>
      <c r="D711" s="4">
        <f>YEAR(E711)</f>
        <v>2023</v>
      </c>
      <c r="E711" s="3">
        <v>45230</v>
      </c>
      <c r="F711" s="4" t="s">
        <v>733</v>
      </c>
      <c r="G711" s="4" t="s">
        <v>19</v>
      </c>
      <c r="H711" s="4">
        <v>26</v>
      </c>
      <c r="I711" s="4" t="str" cm="1">
        <f t="array" ref="I711">_xlfn.IFS(
  H711&lt;30,"Young Adult",
  H711&lt;50,"Adult",
  H711&gt;=50,"Senior"
)</f>
        <v>Young Adult</v>
      </c>
      <c r="J711" s="4" t="s">
        <v>23</v>
      </c>
      <c r="K711" s="4">
        <v>3</v>
      </c>
      <c r="L711" s="5">
        <v>500</v>
      </c>
      <c r="M711" s="5">
        <f xml:space="preserve"> K711*L711</f>
        <v>1500</v>
      </c>
      <c r="N711" s="14">
        <f xml:space="preserve"> M711 * $Q$3</f>
        <v>22.5</v>
      </c>
      <c r="O711" s="5"/>
    </row>
    <row r="712" spans="1:15">
      <c r="A712" s="2">
        <v>711</v>
      </c>
      <c r="B712" s="4">
        <f>DAY(E712)</f>
        <v>16</v>
      </c>
      <c r="C712" s="4">
        <f>MONTH(E712)</f>
        <v>10</v>
      </c>
      <c r="D712" s="4">
        <f>YEAR(E712)</f>
        <v>2023</v>
      </c>
      <c r="E712" s="3">
        <v>45215</v>
      </c>
      <c r="F712" s="4" t="s">
        <v>734</v>
      </c>
      <c r="G712" s="4" t="s">
        <v>15</v>
      </c>
      <c r="H712" s="4">
        <v>26</v>
      </c>
      <c r="I712" s="4" t="str" cm="1">
        <f t="array" ref="I712">_xlfn.IFS(
  H712&lt;30,"Young Adult",
  H712&lt;50,"Adult",
  H712&gt;=50,"Senior"
)</f>
        <v>Young Adult</v>
      </c>
      <c r="J712" s="4" t="s">
        <v>23</v>
      </c>
      <c r="K712" s="4">
        <v>3</v>
      </c>
      <c r="L712" s="5">
        <v>500</v>
      </c>
      <c r="M712" s="5">
        <f xml:space="preserve"> K712*L712</f>
        <v>1500</v>
      </c>
      <c r="N712" s="14">
        <f xml:space="preserve"> M712 * $Q$3</f>
        <v>22.5</v>
      </c>
      <c r="O712" s="5"/>
    </row>
    <row r="713" spans="1:15">
      <c r="A713" s="2">
        <v>712</v>
      </c>
      <c r="B713" s="4">
        <f>DAY(E713)</f>
        <v>6</v>
      </c>
      <c r="C713" s="4">
        <f>MONTH(E713)</f>
        <v>12</v>
      </c>
      <c r="D713" s="4">
        <f>YEAR(E713)</f>
        <v>2023</v>
      </c>
      <c r="E713" s="3">
        <v>45266</v>
      </c>
      <c r="F713" s="4" t="s">
        <v>735</v>
      </c>
      <c r="G713" s="4" t="s">
        <v>19</v>
      </c>
      <c r="H713" s="4">
        <v>57</v>
      </c>
      <c r="I713" s="4" t="str" cm="1">
        <f t="array" ref="I713">_xlfn.IFS(
  H713&lt;30,"Young Adult",
  H713&lt;50,"Adult",
  H713&gt;=50,"Senior"
)</f>
        <v>Senior</v>
      </c>
      <c r="J713" s="4" t="s">
        <v>16</v>
      </c>
      <c r="K713" s="4">
        <v>2</v>
      </c>
      <c r="L713" s="5">
        <v>25</v>
      </c>
      <c r="M713" s="5">
        <f xml:space="preserve"> K713*L713</f>
        <v>50</v>
      </c>
      <c r="N713" s="14">
        <f xml:space="preserve"> M713 * $Q$3</f>
        <v>0.75</v>
      </c>
      <c r="O713" s="5"/>
    </row>
    <row r="714" spans="1:15">
      <c r="A714" s="2">
        <v>713</v>
      </c>
      <c r="B714" s="4">
        <f>DAY(E714)</f>
        <v>14</v>
      </c>
      <c r="C714" s="4">
        <f>MONTH(E714)</f>
        <v>1</v>
      </c>
      <c r="D714" s="4">
        <f>YEAR(E714)</f>
        <v>2023</v>
      </c>
      <c r="E714" s="3">
        <v>44940</v>
      </c>
      <c r="F714" s="4" t="s">
        <v>736</v>
      </c>
      <c r="G714" s="4" t="s">
        <v>15</v>
      </c>
      <c r="H714" s="4">
        <v>34</v>
      </c>
      <c r="I714" s="4" t="str" cm="1">
        <f t="array" ref="I714">_xlfn.IFS(
  H714&lt;30,"Young Adult",
  H714&lt;50,"Adult",
  H714&gt;=50,"Senior"
)</f>
        <v>Adult</v>
      </c>
      <c r="J714" s="4" t="s">
        <v>16</v>
      </c>
      <c r="K714" s="4">
        <v>3</v>
      </c>
      <c r="L714" s="5">
        <v>25</v>
      </c>
      <c r="M714" s="5">
        <f xml:space="preserve"> K714*L714</f>
        <v>75</v>
      </c>
      <c r="N714" s="14">
        <f xml:space="preserve"> M714 * $Q$3</f>
        <v>1.125</v>
      </c>
      <c r="O714" s="5"/>
    </row>
    <row r="715" spans="1:15">
      <c r="A715" s="2">
        <v>714</v>
      </c>
      <c r="B715" s="4">
        <f>DAY(E715)</f>
        <v>12</v>
      </c>
      <c r="C715" s="4">
        <f>MONTH(E715)</f>
        <v>2</v>
      </c>
      <c r="D715" s="4">
        <f>YEAR(E715)</f>
        <v>2023</v>
      </c>
      <c r="E715" s="3">
        <v>44969</v>
      </c>
      <c r="F715" s="4" t="s">
        <v>737</v>
      </c>
      <c r="G715" s="4" t="s">
        <v>19</v>
      </c>
      <c r="H715" s="4">
        <v>18</v>
      </c>
      <c r="I715" s="4" t="str" cm="1">
        <f t="array" ref="I715">_xlfn.IFS(
  H715&lt;30,"Young Adult",
  H715&lt;50,"Adult",
  H715&gt;=50,"Senior"
)</f>
        <v>Young Adult</v>
      </c>
      <c r="J715" s="4" t="s">
        <v>20</v>
      </c>
      <c r="K715" s="4">
        <v>1</v>
      </c>
      <c r="L715" s="5">
        <v>500</v>
      </c>
      <c r="M715" s="5">
        <f xml:space="preserve"> K715*L715</f>
        <v>500</v>
      </c>
      <c r="N715" s="14">
        <f xml:space="preserve"> M715 * $Q$3</f>
        <v>7.5</v>
      </c>
      <c r="O715" s="5"/>
    </row>
    <row r="716" spans="1:15">
      <c r="A716" s="2">
        <v>715</v>
      </c>
      <c r="B716" s="4">
        <f>DAY(E716)</f>
        <v>26</v>
      </c>
      <c r="C716" s="4">
        <f>MONTH(E716)</f>
        <v>11</v>
      </c>
      <c r="D716" s="4">
        <f>YEAR(E716)</f>
        <v>2023</v>
      </c>
      <c r="E716" s="3">
        <v>45256</v>
      </c>
      <c r="F716" s="4" t="s">
        <v>738</v>
      </c>
      <c r="G716" s="4" t="s">
        <v>19</v>
      </c>
      <c r="H716" s="4">
        <v>42</v>
      </c>
      <c r="I716" s="4" t="str" cm="1">
        <f t="array" ref="I716">_xlfn.IFS(
  H716&lt;30,"Young Adult",
  H716&lt;50,"Adult",
  H716&gt;=50,"Senior"
)</f>
        <v>Adult</v>
      </c>
      <c r="J716" s="4" t="s">
        <v>16</v>
      </c>
      <c r="K716" s="4">
        <v>4</v>
      </c>
      <c r="L716" s="5">
        <v>25</v>
      </c>
      <c r="M716" s="5">
        <f xml:space="preserve"> K716*L716</f>
        <v>100</v>
      </c>
      <c r="N716" s="14">
        <f xml:space="preserve"> M716 * $Q$3</f>
        <v>1.5</v>
      </c>
      <c r="O716" s="5"/>
    </row>
    <row r="717" spans="1:15">
      <c r="A717" s="2">
        <v>716</v>
      </c>
      <c r="B717" s="4">
        <f>DAY(E717)</f>
        <v>8</v>
      </c>
      <c r="C717" s="4">
        <f>MONTH(E717)</f>
        <v>8</v>
      </c>
      <c r="D717" s="4">
        <f>YEAR(E717)</f>
        <v>2023</v>
      </c>
      <c r="E717" s="3">
        <v>45146</v>
      </c>
      <c r="F717" s="4" t="s">
        <v>739</v>
      </c>
      <c r="G717" s="4" t="s">
        <v>19</v>
      </c>
      <c r="H717" s="4">
        <v>60</v>
      </c>
      <c r="I717" s="4" t="str" cm="1">
        <f t="array" ref="I717">_xlfn.IFS(
  H717&lt;30,"Young Adult",
  H717&lt;50,"Adult",
  H717&gt;=50,"Senior"
)</f>
        <v>Senior</v>
      </c>
      <c r="J717" s="4" t="s">
        <v>20</v>
      </c>
      <c r="K717" s="4">
        <v>4</v>
      </c>
      <c r="L717" s="5">
        <v>300</v>
      </c>
      <c r="M717" s="5">
        <f xml:space="preserve"> K717*L717</f>
        <v>1200</v>
      </c>
      <c r="N717" s="14">
        <f xml:space="preserve"> M717 * $Q$3</f>
        <v>18</v>
      </c>
      <c r="O717" s="5"/>
    </row>
    <row r="718" spans="1:15">
      <c r="A718" s="2">
        <v>717</v>
      </c>
      <c r="B718" s="4">
        <f>DAY(E718)</f>
        <v>11</v>
      </c>
      <c r="C718" s="4">
        <f>MONTH(E718)</f>
        <v>3</v>
      </c>
      <c r="D718" s="4">
        <f>YEAR(E718)</f>
        <v>2023</v>
      </c>
      <c r="E718" s="17">
        <v>44996</v>
      </c>
      <c r="F718" s="4" t="s">
        <v>740</v>
      </c>
      <c r="G718" s="4" t="s">
        <v>15</v>
      </c>
      <c r="H718" s="4">
        <v>57</v>
      </c>
      <c r="I718" s="4" t="str" cm="1">
        <f t="array" ref="I718">_xlfn.IFS(
  H718&lt;30,"Young Adult",
  H718&lt;50,"Adult",
  H718&gt;=50,"Senior"
)</f>
        <v>Senior</v>
      </c>
      <c r="J718" s="4" t="s">
        <v>20</v>
      </c>
      <c r="K718" s="4">
        <v>1</v>
      </c>
      <c r="L718" s="5">
        <v>500</v>
      </c>
      <c r="M718" s="5">
        <f xml:space="preserve"> K718*L718</f>
        <v>500</v>
      </c>
      <c r="N718" s="14">
        <f xml:space="preserve"> M718 * $Q$3</f>
        <v>7.5</v>
      </c>
      <c r="O718" s="5"/>
    </row>
    <row r="719" spans="1:15">
      <c r="A719" s="2">
        <v>718</v>
      </c>
      <c r="B719" s="4">
        <f>DAY(E719)</f>
        <v>25</v>
      </c>
      <c r="C719" s="4">
        <f>MONTH(E719)</f>
        <v>8</v>
      </c>
      <c r="D719" s="4">
        <f>YEAR(E719)</f>
        <v>2023</v>
      </c>
      <c r="E719" s="3">
        <v>45163</v>
      </c>
      <c r="F719" s="4" t="s">
        <v>741</v>
      </c>
      <c r="G719" s="4" t="s">
        <v>19</v>
      </c>
      <c r="H719" s="4">
        <v>59</v>
      </c>
      <c r="I719" s="4" t="str" cm="1">
        <f t="array" ref="I719">_xlfn.IFS(
  H719&lt;30,"Young Adult",
  H719&lt;50,"Adult",
  H719&gt;=50,"Senior"
)</f>
        <v>Senior</v>
      </c>
      <c r="J719" s="4" t="s">
        <v>16</v>
      </c>
      <c r="K719" s="4">
        <v>3</v>
      </c>
      <c r="L719" s="5">
        <v>25</v>
      </c>
      <c r="M719" s="5">
        <f xml:space="preserve"> K719*L719</f>
        <v>75</v>
      </c>
      <c r="N719" s="14">
        <f xml:space="preserve"> M719 * $Q$3</f>
        <v>1.125</v>
      </c>
      <c r="O719" s="5"/>
    </row>
    <row r="720" spans="1:15">
      <c r="A720" s="2">
        <v>719</v>
      </c>
      <c r="B720" s="4">
        <f>DAY(E720)</f>
        <v>4</v>
      </c>
      <c r="C720" s="4">
        <f>MONTH(E720)</f>
        <v>4</v>
      </c>
      <c r="D720" s="4">
        <f>YEAR(E720)</f>
        <v>2023</v>
      </c>
      <c r="E720" s="17">
        <v>45020</v>
      </c>
      <c r="F720" s="4" t="s">
        <v>742</v>
      </c>
      <c r="G720" s="4" t="s">
        <v>19</v>
      </c>
      <c r="H720" s="4">
        <v>42</v>
      </c>
      <c r="I720" s="4" t="str" cm="1">
        <f t="array" ref="I720">_xlfn.IFS(
  H720&lt;30,"Young Adult",
  H720&lt;50,"Adult",
  H720&gt;=50,"Senior"
)</f>
        <v>Adult</v>
      </c>
      <c r="J720" s="4" t="s">
        <v>20</v>
      </c>
      <c r="K720" s="4">
        <v>2</v>
      </c>
      <c r="L720" s="5">
        <v>30</v>
      </c>
      <c r="M720" s="5">
        <f xml:space="preserve"> K720*L720</f>
        <v>60</v>
      </c>
      <c r="N720" s="14">
        <f xml:space="preserve"> M720 * $Q$3</f>
        <v>0.89999999999999991</v>
      </c>
      <c r="O720" s="5"/>
    </row>
    <row r="721" spans="1:15">
      <c r="A721" s="2">
        <v>720</v>
      </c>
      <c r="B721" s="4">
        <f>DAY(E721)</f>
        <v>26</v>
      </c>
      <c r="C721" s="4">
        <f>MONTH(E721)</f>
        <v>1</v>
      </c>
      <c r="D721" s="4">
        <f>YEAR(E721)</f>
        <v>2023</v>
      </c>
      <c r="E721" s="3">
        <v>44952</v>
      </c>
      <c r="F721" s="4" t="s">
        <v>743</v>
      </c>
      <c r="G721" s="4" t="s">
        <v>19</v>
      </c>
      <c r="H721" s="4">
        <v>56</v>
      </c>
      <c r="I721" s="4" t="str" cm="1">
        <f t="array" ref="I721">_xlfn.IFS(
  H721&lt;30,"Young Adult",
  H721&lt;50,"Adult",
  H721&gt;=50,"Senior"
)</f>
        <v>Senior</v>
      </c>
      <c r="J721" s="4" t="s">
        <v>16</v>
      </c>
      <c r="K721" s="4">
        <v>3</v>
      </c>
      <c r="L721" s="5">
        <v>500</v>
      </c>
      <c r="M721" s="5">
        <f xml:space="preserve"> K721*L721</f>
        <v>1500</v>
      </c>
      <c r="N721" s="14">
        <f xml:space="preserve"> M721 * $Q$3</f>
        <v>22.5</v>
      </c>
      <c r="O721" s="5"/>
    </row>
    <row r="722" spans="1:15">
      <c r="A722" s="2">
        <v>721</v>
      </c>
      <c r="B722" s="4">
        <f>DAY(E722)</f>
        <v>14</v>
      </c>
      <c r="C722" s="4">
        <f>MONTH(E722)</f>
        <v>5</v>
      </c>
      <c r="D722" s="4">
        <f>YEAR(E722)</f>
        <v>2023</v>
      </c>
      <c r="E722" s="17">
        <v>45060</v>
      </c>
      <c r="F722" s="4" t="s">
        <v>744</v>
      </c>
      <c r="G722" s="4" t="s">
        <v>19</v>
      </c>
      <c r="H722" s="4">
        <v>52</v>
      </c>
      <c r="I722" s="4" t="str" cm="1">
        <f t="array" ref="I722">_xlfn.IFS(
  H722&lt;30,"Young Adult",
  H722&lt;50,"Adult",
  H722&gt;=50,"Senior"
)</f>
        <v>Senior</v>
      </c>
      <c r="J722" s="4" t="s">
        <v>20</v>
      </c>
      <c r="K722" s="4">
        <v>1</v>
      </c>
      <c r="L722" s="5">
        <v>500</v>
      </c>
      <c r="M722" s="5">
        <f xml:space="preserve"> K722*L722</f>
        <v>500</v>
      </c>
      <c r="N722" s="14">
        <f xml:space="preserve"> M722 * $Q$3</f>
        <v>7.5</v>
      </c>
      <c r="O722" s="5"/>
    </row>
    <row r="723" spans="1:15">
      <c r="A723" s="2">
        <v>722</v>
      </c>
      <c r="B723" s="4">
        <f>DAY(E723)</f>
        <v>14</v>
      </c>
      <c r="C723" s="4">
        <f>MONTH(E723)</f>
        <v>7</v>
      </c>
      <c r="D723" s="4">
        <f>YEAR(E723)</f>
        <v>2023</v>
      </c>
      <c r="E723" s="3">
        <v>45121</v>
      </c>
      <c r="F723" s="4" t="s">
        <v>745</v>
      </c>
      <c r="G723" s="4" t="s">
        <v>15</v>
      </c>
      <c r="H723" s="4">
        <v>20</v>
      </c>
      <c r="I723" s="4" t="str" cm="1">
        <f t="array" ref="I723">_xlfn.IFS(
  H723&lt;30,"Young Adult",
  H723&lt;50,"Adult",
  H723&gt;=50,"Senior"
)</f>
        <v>Young Adult</v>
      </c>
      <c r="J723" s="4" t="s">
        <v>16</v>
      </c>
      <c r="K723" s="4">
        <v>3</v>
      </c>
      <c r="L723" s="5">
        <v>300</v>
      </c>
      <c r="M723" s="5">
        <f xml:space="preserve"> K723*L723</f>
        <v>900</v>
      </c>
      <c r="N723" s="14">
        <f xml:space="preserve"> M723 * $Q$3</f>
        <v>13.5</v>
      </c>
      <c r="O723" s="5"/>
    </row>
    <row r="724" spans="1:15">
      <c r="A724" s="2">
        <v>723</v>
      </c>
      <c r="B724" s="4">
        <f>DAY(E724)</f>
        <v>17</v>
      </c>
      <c r="C724" s="4">
        <f>MONTH(E724)</f>
        <v>6</v>
      </c>
      <c r="D724" s="4">
        <f>YEAR(E724)</f>
        <v>2023</v>
      </c>
      <c r="E724" s="3">
        <v>45094</v>
      </c>
      <c r="F724" s="4" t="s">
        <v>746</v>
      </c>
      <c r="G724" s="4" t="s">
        <v>19</v>
      </c>
      <c r="H724" s="4">
        <v>54</v>
      </c>
      <c r="I724" s="4" t="str" cm="1">
        <f t="array" ref="I724">_xlfn.IFS(
  H724&lt;30,"Young Adult",
  H724&lt;50,"Adult",
  H724&gt;=50,"Senior"
)</f>
        <v>Senior</v>
      </c>
      <c r="J724" s="4" t="s">
        <v>16</v>
      </c>
      <c r="K724" s="4">
        <v>4</v>
      </c>
      <c r="L724" s="5">
        <v>50</v>
      </c>
      <c r="M724" s="5">
        <f xml:space="preserve"> K724*L724</f>
        <v>200</v>
      </c>
      <c r="N724" s="14">
        <f xml:space="preserve"> M724 * $Q$3</f>
        <v>3</v>
      </c>
      <c r="O724" s="5"/>
    </row>
    <row r="725" spans="1:15">
      <c r="A725" s="2">
        <v>724</v>
      </c>
      <c r="B725" s="4">
        <f>DAY(E725)</f>
        <v>19</v>
      </c>
      <c r="C725" s="4">
        <f>MONTH(E725)</f>
        <v>4</v>
      </c>
      <c r="D725" s="4">
        <f>YEAR(E725)</f>
        <v>2023</v>
      </c>
      <c r="E725" s="17">
        <v>45035</v>
      </c>
      <c r="F725" s="4" t="s">
        <v>747</v>
      </c>
      <c r="G725" s="4" t="s">
        <v>15</v>
      </c>
      <c r="H725" s="4">
        <v>61</v>
      </c>
      <c r="I725" s="4" t="str" cm="1">
        <f t="array" ref="I725">_xlfn.IFS(
  H725&lt;30,"Young Adult",
  H725&lt;50,"Adult",
  H725&gt;=50,"Senior"
)</f>
        <v>Senior</v>
      </c>
      <c r="J725" s="4" t="s">
        <v>20</v>
      </c>
      <c r="K725" s="4">
        <v>3</v>
      </c>
      <c r="L725" s="5">
        <v>50</v>
      </c>
      <c r="M725" s="5">
        <f xml:space="preserve"> K725*L725</f>
        <v>150</v>
      </c>
      <c r="N725" s="14">
        <f xml:space="preserve"> M725 * $Q$3</f>
        <v>2.25</v>
      </c>
      <c r="O725" s="5"/>
    </row>
    <row r="726" spans="1:15">
      <c r="A726" s="2">
        <v>725</v>
      </c>
      <c r="B726" s="4">
        <f>DAY(E726)</f>
        <v>21</v>
      </c>
      <c r="C726" s="4">
        <f>MONTH(E726)</f>
        <v>8</v>
      </c>
      <c r="D726" s="4">
        <f>YEAR(E726)</f>
        <v>2023</v>
      </c>
      <c r="E726" s="3">
        <v>45159</v>
      </c>
      <c r="F726" s="4" t="s">
        <v>748</v>
      </c>
      <c r="G726" s="4" t="s">
        <v>15</v>
      </c>
      <c r="H726" s="4">
        <v>61</v>
      </c>
      <c r="I726" s="4" t="str" cm="1">
        <f t="array" ref="I726">_xlfn.IFS(
  H726&lt;30,"Young Adult",
  H726&lt;50,"Adult",
  H726&gt;=50,"Senior"
)</f>
        <v>Senior</v>
      </c>
      <c r="J726" s="4" t="s">
        <v>23</v>
      </c>
      <c r="K726" s="4">
        <v>1</v>
      </c>
      <c r="L726" s="5">
        <v>300</v>
      </c>
      <c r="M726" s="5">
        <f xml:space="preserve"> K726*L726</f>
        <v>300</v>
      </c>
      <c r="N726" s="14">
        <f xml:space="preserve"> M726 * $Q$3</f>
        <v>4.5</v>
      </c>
      <c r="O726" s="5"/>
    </row>
    <row r="727" spans="1:15">
      <c r="A727" s="2">
        <v>726</v>
      </c>
      <c r="B727" s="4">
        <f>DAY(E727)</f>
        <v>17</v>
      </c>
      <c r="C727" s="4">
        <f>MONTH(E727)</f>
        <v>6</v>
      </c>
      <c r="D727" s="4">
        <f>YEAR(E727)</f>
        <v>2023</v>
      </c>
      <c r="E727" s="3">
        <v>45094</v>
      </c>
      <c r="F727" s="4" t="s">
        <v>749</v>
      </c>
      <c r="G727" s="4" t="s">
        <v>15</v>
      </c>
      <c r="H727" s="4">
        <v>47</v>
      </c>
      <c r="I727" s="4" t="str" cm="1">
        <f t="array" ref="I727">_xlfn.IFS(
  H727&lt;30,"Young Adult",
  H727&lt;50,"Adult",
  H727&gt;=50,"Senior"
)</f>
        <v>Adult</v>
      </c>
      <c r="J727" s="4" t="s">
        <v>20</v>
      </c>
      <c r="K727" s="4">
        <v>4</v>
      </c>
      <c r="L727" s="5">
        <v>300</v>
      </c>
      <c r="M727" s="5">
        <f xml:space="preserve"> K727*L727</f>
        <v>1200</v>
      </c>
      <c r="N727" s="14">
        <f xml:space="preserve"> M727 * $Q$3</f>
        <v>18</v>
      </c>
      <c r="O727" s="5"/>
    </row>
    <row r="728" spans="1:15">
      <c r="A728" s="2">
        <v>727</v>
      </c>
      <c r="B728" s="4">
        <f>DAY(E728)</f>
        <v>22</v>
      </c>
      <c r="C728" s="4">
        <f>MONTH(E728)</f>
        <v>6</v>
      </c>
      <c r="D728" s="4">
        <f>YEAR(E728)</f>
        <v>2023</v>
      </c>
      <c r="E728" s="3">
        <v>45099</v>
      </c>
      <c r="F728" s="4" t="s">
        <v>750</v>
      </c>
      <c r="G728" s="4" t="s">
        <v>15</v>
      </c>
      <c r="H728" s="4">
        <v>55</v>
      </c>
      <c r="I728" s="4" t="str" cm="1">
        <f t="array" ref="I728">_xlfn.IFS(
  H728&lt;30,"Young Adult",
  H728&lt;50,"Adult",
  H728&gt;=50,"Senior"
)</f>
        <v>Senior</v>
      </c>
      <c r="J728" s="4" t="s">
        <v>16</v>
      </c>
      <c r="K728" s="4">
        <v>3</v>
      </c>
      <c r="L728" s="5">
        <v>300</v>
      </c>
      <c r="M728" s="5">
        <f xml:space="preserve"> K728*L728</f>
        <v>900</v>
      </c>
      <c r="N728" s="14">
        <f xml:space="preserve"> M728 * $Q$3</f>
        <v>13.5</v>
      </c>
      <c r="O728" s="5"/>
    </row>
    <row r="729" spans="1:15">
      <c r="A729" s="2">
        <v>728</v>
      </c>
      <c r="B729" s="4">
        <f>DAY(E729)</f>
        <v>14</v>
      </c>
      <c r="C729" s="4">
        <f>MONTH(E729)</f>
        <v>7</v>
      </c>
      <c r="D729" s="4">
        <f>YEAR(E729)</f>
        <v>2023</v>
      </c>
      <c r="E729" s="3">
        <v>45121</v>
      </c>
      <c r="F729" s="4" t="s">
        <v>751</v>
      </c>
      <c r="G729" s="4" t="s">
        <v>15</v>
      </c>
      <c r="H729" s="4">
        <v>51</v>
      </c>
      <c r="I729" s="4" t="str" cm="1">
        <f t="array" ref="I729">_xlfn.IFS(
  H729&lt;30,"Young Adult",
  H729&lt;50,"Adult",
  H729&gt;=50,"Senior"
)</f>
        <v>Senior</v>
      </c>
      <c r="J729" s="4" t="s">
        <v>23</v>
      </c>
      <c r="K729" s="4">
        <v>3</v>
      </c>
      <c r="L729" s="5">
        <v>50</v>
      </c>
      <c r="M729" s="5">
        <f xml:space="preserve"> K729*L729</f>
        <v>150</v>
      </c>
      <c r="N729" s="14">
        <f xml:space="preserve"> M729 * $Q$3</f>
        <v>2.25</v>
      </c>
      <c r="O729" s="5"/>
    </row>
    <row r="730" spans="1:15">
      <c r="A730" s="2">
        <v>729</v>
      </c>
      <c r="B730" s="4">
        <f>DAY(E730)</f>
        <v>23</v>
      </c>
      <c r="C730" s="4">
        <f>MONTH(E730)</f>
        <v>5</v>
      </c>
      <c r="D730" s="4">
        <f>YEAR(E730)</f>
        <v>2023</v>
      </c>
      <c r="E730" s="17">
        <v>45069</v>
      </c>
      <c r="F730" s="4" t="s">
        <v>752</v>
      </c>
      <c r="G730" s="4" t="s">
        <v>15</v>
      </c>
      <c r="H730" s="4">
        <v>29</v>
      </c>
      <c r="I730" s="4" t="str" cm="1">
        <f t="array" ref="I730">_xlfn.IFS(
  H730&lt;30,"Young Adult",
  H730&lt;50,"Adult",
  H730&gt;=50,"Senior"
)</f>
        <v>Young Adult</v>
      </c>
      <c r="J730" s="4" t="s">
        <v>20</v>
      </c>
      <c r="K730" s="4">
        <v>4</v>
      </c>
      <c r="L730" s="5">
        <v>300</v>
      </c>
      <c r="M730" s="5">
        <f xml:space="preserve"> K730*L730</f>
        <v>1200</v>
      </c>
      <c r="N730" s="14">
        <f xml:space="preserve"> M730 * $Q$3</f>
        <v>18</v>
      </c>
      <c r="O730" s="5"/>
    </row>
    <row r="731" spans="1:15">
      <c r="A731" s="2">
        <v>730</v>
      </c>
      <c r="B731" s="4">
        <f>DAY(E731)</f>
        <v>4</v>
      </c>
      <c r="C731" s="4">
        <f>MONTH(E731)</f>
        <v>8</v>
      </c>
      <c r="D731" s="4">
        <f>YEAR(E731)</f>
        <v>2023</v>
      </c>
      <c r="E731" s="3">
        <v>45142</v>
      </c>
      <c r="F731" s="4" t="s">
        <v>753</v>
      </c>
      <c r="G731" s="4" t="s">
        <v>19</v>
      </c>
      <c r="H731" s="4">
        <v>36</v>
      </c>
      <c r="I731" s="4" t="str" cm="1">
        <f t="array" ref="I731">_xlfn.IFS(
  H731&lt;30,"Young Adult",
  H731&lt;50,"Adult",
  H731&gt;=50,"Senior"
)</f>
        <v>Adult</v>
      </c>
      <c r="J731" s="4" t="s">
        <v>20</v>
      </c>
      <c r="K731" s="4">
        <v>2</v>
      </c>
      <c r="L731" s="5">
        <v>25</v>
      </c>
      <c r="M731" s="5">
        <f xml:space="preserve"> K731*L731</f>
        <v>50</v>
      </c>
      <c r="N731" s="14">
        <f xml:space="preserve"> M731 * $Q$3</f>
        <v>0.75</v>
      </c>
      <c r="O731" s="5"/>
    </row>
    <row r="732" spans="1:15">
      <c r="A732" s="2">
        <v>731</v>
      </c>
      <c r="B732" s="4">
        <f>DAY(E732)</f>
        <v>10</v>
      </c>
      <c r="C732" s="4">
        <f>MONTH(E732)</f>
        <v>5</v>
      </c>
      <c r="D732" s="4">
        <f>YEAR(E732)</f>
        <v>2023</v>
      </c>
      <c r="E732" s="17">
        <v>45056</v>
      </c>
      <c r="F732" s="4" t="s">
        <v>754</v>
      </c>
      <c r="G732" s="4" t="s">
        <v>15</v>
      </c>
      <c r="H732" s="4">
        <v>54</v>
      </c>
      <c r="I732" s="4" t="str" cm="1">
        <f t="array" ref="I732">_xlfn.IFS(
  H732&lt;30,"Young Adult",
  H732&lt;50,"Adult",
  H732&gt;=50,"Senior"
)</f>
        <v>Senior</v>
      </c>
      <c r="J732" s="4" t="s">
        <v>20</v>
      </c>
      <c r="K732" s="4">
        <v>4</v>
      </c>
      <c r="L732" s="5">
        <v>500</v>
      </c>
      <c r="M732" s="5">
        <f xml:space="preserve"> K732*L732</f>
        <v>2000</v>
      </c>
      <c r="N732" s="14">
        <f xml:space="preserve"> M732 * $Q$3</f>
        <v>30</v>
      </c>
      <c r="O732" s="5"/>
    </row>
    <row r="733" spans="1:15">
      <c r="A733" s="2">
        <v>732</v>
      </c>
      <c r="B733" s="4">
        <f>DAY(E733)</f>
        <v>11</v>
      </c>
      <c r="C733" s="4">
        <f>MONTH(E733)</f>
        <v>2</v>
      </c>
      <c r="D733" s="4">
        <f>YEAR(E733)</f>
        <v>2023</v>
      </c>
      <c r="E733" s="3">
        <v>44968</v>
      </c>
      <c r="F733" s="4" t="s">
        <v>755</v>
      </c>
      <c r="G733" s="4" t="s">
        <v>15</v>
      </c>
      <c r="H733" s="4">
        <v>61</v>
      </c>
      <c r="I733" s="4" t="str" cm="1">
        <f t="array" ref="I733">_xlfn.IFS(
  H733&lt;30,"Young Adult",
  H733&lt;50,"Adult",
  H733&gt;=50,"Senior"
)</f>
        <v>Senior</v>
      </c>
      <c r="J733" s="4" t="s">
        <v>23</v>
      </c>
      <c r="K733" s="4">
        <v>2</v>
      </c>
      <c r="L733" s="5">
        <v>500</v>
      </c>
      <c r="M733" s="5">
        <f xml:space="preserve"> K733*L733</f>
        <v>1000</v>
      </c>
      <c r="N733" s="14">
        <f xml:space="preserve"> M733 * $Q$3</f>
        <v>15</v>
      </c>
      <c r="O733" s="5"/>
    </row>
    <row r="734" spans="1:15">
      <c r="A734" s="2">
        <v>733</v>
      </c>
      <c r="B734" s="4">
        <f>DAY(E734)</f>
        <v>29</v>
      </c>
      <c r="C734" s="4">
        <f>MONTH(E734)</f>
        <v>8</v>
      </c>
      <c r="D734" s="4">
        <f>YEAR(E734)</f>
        <v>2023</v>
      </c>
      <c r="E734" s="3">
        <v>45167</v>
      </c>
      <c r="F734" s="4" t="s">
        <v>756</v>
      </c>
      <c r="G734" s="4" t="s">
        <v>15</v>
      </c>
      <c r="H734" s="4">
        <v>34</v>
      </c>
      <c r="I734" s="4" t="str" cm="1">
        <f t="array" ref="I734">_xlfn.IFS(
  H734&lt;30,"Young Adult",
  H734&lt;50,"Adult",
  H734&gt;=50,"Senior"
)</f>
        <v>Adult</v>
      </c>
      <c r="J734" s="4" t="s">
        <v>16</v>
      </c>
      <c r="K734" s="4">
        <v>1</v>
      </c>
      <c r="L734" s="5">
        <v>30</v>
      </c>
      <c r="M734" s="5">
        <f xml:space="preserve"> K734*L734</f>
        <v>30</v>
      </c>
      <c r="N734" s="14">
        <f xml:space="preserve"> M734 * $Q$3</f>
        <v>0.44999999999999996</v>
      </c>
      <c r="O734" s="5"/>
    </row>
    <row r="735" spans="1:15">
      <c r="A735" s="2">
        <v>734</v>
      </c>
      <c r="B735" s="4">
        <f>DAY(E735)</f>
        <v>10</v>
      </c>
      <c r="C735" s="4">
        <f>MONTH(E735)</f>
        <v>1</v>
      </c>
      <c r="D735" s="4">
        <f>YEAR(E735)</f>
        <v>2023</v>
      </c>
      <c r="E735" s="3">
        <v>44936</v>
      </c>
      <c r="F735" s="4" t="s">
        <v>757</v>
      </c>
      <c r="G735" s="4" t="s">
        <v>19</v>
      </c>
      <c r="H735" s="4">
        <v>27</v>
      </c>
      <c r="I735" s="4" t="str" cm="1">
        <f t="array" ref="I735">_xlfn.IFS(
  H735&lt;30,"Young Adult",
  H735&lt;50,"Adult",
  H735&gt;=50,"Senior"
)</f>
        <v>Young Adult</v>
      </c>
      <c r="J735" s="4" t="s">
        <v>20</v>
      </c>
      <c r="K735" s="4">
        <v>1</v>
      </c>
      <c r="L735" s="5">
        <v>30</v>
      </c>
      <c r="M735" s="5">
        <f xml:space="preserve"> K735*L735</f>
        <v>30</v>
      </c>
      <c r="N735" s="14">
        <f xml:space="preserve"> M735 * $Q$3</f>
        <v>0.44999999999999996</v>
      </c>
      <c r="O735" s="5"/>
    </row>
    <row r="736" spans="1:15">
      <c r="A736" s="2">
        <v>735</v>
      </c>
      <c r="B736" s="4">
        <f>DAY(E736)</f>
        <v>4</v>
      </c>
      <c r="C736" s="4">
        <f>MONTH(E736)</f>
        <v>10</v>
      </c>
      <c r="D736" s="4">
        <f>YEAR(E736)</f>
        <v>2023</v>
      </c>
      <c r="E736" s="3">
        <v>45203</v>
      </c>
      <c r="F736" s="4" t="s">
        <v>758</v>
      </c>
      <c r="G736" s="4" t="s">
        <v>19</v>
      </c>
      <c r="H736" s="4">
        <v>64</v>
      </c>
      <c r="I736" s="4" t="str" cm="1">
        <f t="array" ref="I736">_xlfn.IFS(
  H736&lt;30,"Young Adult",
  H736&lt;50,"Adult",
  H736&gt;=50,"Senior"
)</f>
        <v>Senior</v>
      </c>
      <c r="J736" s="4" t="s">
        <v>20</v>
      </c>
      <c r="K736" s="4">
        <v>4</v>
      </c>
      <c r="L736" s="5">
        <v>500</v>
      </c>
      <c r="M736" s="5">
        <f xml:space="preserve"> K736*L736</f>
        <v>2000</v>
      </c>
      <c r="N736" s="14">
        <f xml:space="preserve"> M736 * $Q$3</f>
        <v>30</v>
      </c>
      <c r="O736" s="5"/>
    </row>
    <row r="737" spans="1:15">
      <c r="A737" s="2">
        <v>736</v>
      </c>
      <c r="B737" s="4">
        <f>DAY(E737)</f>
        <v>27</v>
      </c>
      <c r="C737" s="4">
        <f>MONTH(E737)</f>
        <v>1</v>
      </c>
      <c r="D737" s="4">
        <f>YEAR(E737)</f>
        <v>2023</v>
      </c>
      <c r="E737" s="3">
        <v>44953</v>
      </c>
      <c r="F737" s="4" t="s">
        <v>759</v>
      </c>
      <c r="G737" s="4" t="s">
        <v>15</v>
      </c>
      <c r="H737" s="4">
        <v>29</v>
      </c>
      <c r="I737" s="4" t="str" cm="1">
        <f t="array" ref="I737">_xlfn.IFS(
  H737&lt;30,"Young Adult",
  H737&lt;50,"Adult",
  H737&gt;=50,"Senior"
)</f>
        <v>Young Adult</v>
      </c>
      <c r="J737" s="4" t="s">
        <v>20</v>
      </c>
      <c r="K737" s="4">
        <v>4</v>
      </c>
      <c r="L737" s="5">
        <v>25</v>
      </c>
      <c r="M737" s="5">
        <f xml:space="preserve"> K737*L737</f>
        <v>100</v>
      </c>
      <c r="N737" s="14">
        <f xml:space="preserve"> M737 * $Q$3</f>
        <v>1.5</v>
      </c>
      <c r="O737" s="5"/>
    </row>
    <row r="738" spans="1:15">
      <c r="A738" s="2">
        <v>737</v>
      </c>
      <c r="B738" s="4">
        <f>DAY(E738)</f>
        <v>29</v>
      </c>
      <c r="C738" s="4">
        <f>MONTH(E738)</f>
        <v>6</v>
      </c>
      <c r="D738" s="4">
        <f>YEAR(E738)</f>
        <v>2023</v>
      </c>
      <c r="E738" s="3">
        <v>45106</v>
      </c>
      <c r="F738" s="4" t="s">
        <v>760</v>
      </c>
      <c r="G738" s="4" t="s">
        <v>19</v>
      </c>
      <c r="H738" s="4">
        <v>33</v>
      </c>
      <c r="I738" s="4" t="str" cm="1">
        <f t="array" ref="I738">_xlfn.IFS(
  H738&lt;30,"Young Adult",
  H738&lt;50,"Adult",
  H738&gt;=50,"Senior"
)</f>
        <v>Adult</v>
      </c>
      <c r="J738" s="4" t="s">
        <v>20</v>
      </c>
      <c r="K738" s="4">
        <v>1</v>
      </c>
      <c r="L738" s="5">
        <v>50</v>
      </c>
      <c r="M738" s="5">
        <f xml:space="preserve"> K738*L738</f>
        <v>50</v>
      </c>
      <c r="N738" s="14">
        <f xml:space="preserve"> M738 * $Q$3</f>
        <v>0.75</v>
      </c>
      <c r="O738" s="5"/>
    </row>
    <row r="739" spans="1:15">
      <c r="A739" s="2">
        <v>738</v>
      </c>
      <c r="B739" s="4">
        <f>DAY(E739)</f>
        <v>25</v>
      </c>
      <c r="C739" s="4">
        <f>MONTH(E739)</f>
        <v>4</v>
      </c>
      <c r="D739" s="4">
        <f>YEAR(E739)</f>
        <v>2023</v>
      </c>
      <c r="E739" s="17">
        <v>45041</v>
      </c>
      <c r="F739" s="4" t="s">
        <v>761</v>
      </c>
      <c r="G739" s="4" t="s">
        <v>15</v>
      </c>
      <c r="H739" s="4">
        <v>41</v>
      </c>
      <c r="I739" s="4" t="str" cm="1">
        <f t="array" ref="I739">_xlfn.IFS(
  H739&lt;30,"Young Adult",
  H739&lt;50,"Adult",
  H739&gt;=50,"Senior"
)</f>
        <v>Adult</v>
      </c>
      <c r="J739" s="4" t="s">
        <v>20</v>
      </c>
      <c r="K739" s="4">
        <v>2</v>
      </c>
      <c r="L739" s="5">
        <v>50</v>
      </c>
      <c r="M739" s="5">
        <f xml:space="preserve"> K739*L739</f>
        <v>100</v>
      </c>
      <c r="N739" s="14">
        <f xml:space="preserve"> M739 * $Q$3</f>
        <v>1.5</v>
      </c>
      <c r="O739" s="5"/>
    </row>
    <row r="740" spans="1:15">
      <c r="A740" s="2">
        <v>739</v>
      </c>
      <c r="B740" s="4">
        <f>DAY(E740)</f>
        <v>29</v>
      </c>
      <c r="C740" s="4">
        <f>MONTH(E740)</f>
        <v>11</v>
      </c>
      <c r="D740" s="4">
        <f>YEAR(E740)</f>
        <v>2023</v>
      </c>
      <c r="E740" s="3">
        <v>45259</v>
      </c>
      <c r="F740" s="4" t="s">
        <v>762</v>
      </c>
      <c r="G740" s="4" t="s">
        <v>15</v>
      </c>
      <c r="H740" s="4">
        <v>36</v>
      </c>
      <c r="I740" s="4" t="str" cm="1">
        <f t="array" ref="I740">_xlfn.IFS(
  H740&lt;30,"Young Adult",
  H740&lt;50,"Adult",
  H740&gt;=50,"Senior"
)</f>
        <v>Adult</v>
      </c>
      <c r="J740" s="4" t="s">
        <v>16</v>
      </c>
      <c r="K740" s="4">
        <v>1</v>
      </c>
      <c r="L740" s="5">
        <v>25</v>
      </c>
      <c r="M740" s="5">
        <f xml:space="preserve"> K740*L740</f>
        <v>25</v>
      </c>
      <c r="N740" s="14">
        <f xml:space="preserve"> M740 * $Q$3</f>
        <v>0.375</v>
      </c>
      <c r="O740" s="5"/>
    </row>
    <row r="741" spans="1:15">
      <c r="A741" s="2">
        <v>740</v>
      </c>
      <c r="B741" s="4">
        <f>DAY(E741)</f>
        <v>5</v>
      </c>
      <c r="C741" s="4">
        <f>MONTH(E741)</f>
        <v>2</v>
      </c>
      <c r="D741" s="4">
        <f>YEAR(E741)</f>
        <v>2023</v>
      </c>
      <c r="E741" s="3">
        <v>44962</v>
      </c>
      <c r="F741" s="4" t="s">
        <v>763</v>
      </c>
      <c r="G741" s="4" t="s">
        <v>19</v>
      </c>
      <c r="H741" s="4">
        <v>25</v>
      </c>
      <c r="I741" s="4" t="str" cm="1">
        <f t="array" ref="I741">_xlfn.IFS(
  H741&lt;30,"Young Adult",
  H741&lt;50,"Adult",
  H741&gt;=50,"Senior"
)</f>
        <v>Young Adult</v>
      </c>
      <c r="J741" s="4" t="s">
        <v>16</v>
      </c>
      <c r="K741" s="4">
        <v>4</v>
      </c>
      <c r="L741" s="5">
        <v>50</v>
      </c>
      <c r="M741" s="5">
        <f xml:space="preserve"> K741*L741</f>
        <v>200</v>
      </c>
      <c r="N741" s="14">
        <f xml:space="preserve"> M741 * $Q$3</f>
        <v>3</v>
      </c>
      <c r="O741" s="5"/>
    </row>
    <row r="742" spans="1:15">
      <c r="A742" s="2">
        <v>741</v>
      </c>
      <c r="B742" s="4">
        <f>DAY(E742)</f>
        <v>30</v>
      </c>
      <c r="C742" s="4">
        <f>MONTH(E742)</f>
        <v>11</v>
      </c>
      <c r="D742" s="4">
        <f>YEAR(E742)</f>
        <v>2023</v>
      </c>
      <c r="E742" s="3">
        <v>45260</v>
      </c>
      <c r="F742" s="4" t="s">
        <v>764</v>
      </c>
      <c r="G742" s="4" t="s">
        <v>15</v>
      </c>
      <c r="H742" s="4">
        <v>48</v>
      </c>
      <c r="I742" s="4" t="str" cm="1">
        <f t="array" ref="I742">_xlfn.IFS(
  H742&lt;30,"Young Adult",
  H742&lt;50,"Adult",
  H742&gt;=50,"Senior"
)</f>
        <v>Adult</v>
      </c>
      <c r="J742" s="4" t="s">
        <v>20</v>
      </c>
      <c r="K742" s="4">
        <v>1</v>
      </c>
      <c r="L742" s="5">
        <v>300</v>
      </c>
      <c r="M742" s="5">
        <f xml:space="preserve"> K742*L742</f>
        <v>300</v>
      </c>
      <c r="N742" s="14">
        <f xml:space="preserve"> M742 * $Q$3</f>
        <v>4.5</v>
      </c>
      <c r="O742" s="5"/>
    </row>
    <row r="743" spans="1:15">
      <c r="A743" s="2">
        <v>742</v>
      </c>
      <c r="B743" s="4">
        <f>DAY(E743)</f>
        <v>21</v>
      </c>
      <c r="C743" s="4">
        <f>MONTH(E743)</f>
        <v>1</v>
      </c>
      <c r="D743" s="4">
        <f>YEAR(E743)</f>
        <v>2023</v>
      </c>
      <c r="E743" s="3">
        <v>44947</v>
      </c>
      <c r="F743" s="4" t="s">
        <v>765</v>
      </c>
      <c r="G743" s="4" t="s">
        <v>19</v>
      </c>
      <c r="H743" s="4">
        <v>38</v>
      </c>
      <c r="I743" s="4" t="str" cm="1">
        <f t="array" ref="I743">_xlfn.IFS(
  H743&lt;30,"Young Adult",
  H743&lt;50,"Adult",
  H743&gt;=50,"Senior"
)</f>
        <v>Adult</v>
      </c>
      <c r="J743" s="4" t="s">
        <v>23</v>
      </c>
      <c r="K743" s="4">
        <v>4</v>
      </c>
      <c r="L743" s="5">
        <v>500</v>
      </c>
      <c r="M743" s="5">
        <f xml:space="preserve"> K743*L743</f>
        <v>2000</v>
      </c>
      <c r="N743" s="14">
        <f xml:space="preserve"> M743 * $Q$3</f>
        <v>30</v>
      </c>
      <c r="O743" s="5"/>
    </row>
    <row r="744" spans="1:15">
      <c r="A744" s="2">
        <v>743</v>
      </c>
      <c r="B744" s="4">
        <f>DAY(E744)</f>
        <v>16</v>
      </c>
      <c r="C744" s="4">
        <f>MONTH(E744)</f>
        <v>1</v>
      </c>
      <c r="D744" s="4">
        <f>YEAR(E744)</f>
        <v>2023</v>
      </c>
      <c r="E744" s="3">
        <v>44942</v>
      </c>
      <c r="F744" s="4" t="s">
        <v>766</v>
      </c>
      <c r="G744" s="4" t="s">
        <v>19</v>
      </c>
      <c r="H744" s="4">
        <v>34</v>
      </c>
      <c r="I744" s="4" t="str" cm="1">
        <f t="array" ref="I744">_xlfn.IFS(
  H744&lt;30,"Young Adult",
  H744&lt;50,"Adult",
  H744&gt;=50,"Senior"
)</f>
        <v>Adult</v>
      </c>
      <c r="J744" s="4" t="s">
        <v>16</v>
      </c>
      <c r="K744" s="4">
        <v>4</v>
      </c>
      <c r="L744" s="5">
        <v>500</v>
      </c>
      <c r="M744" s="5">
        <f xml:space="preserve"> K744*L744</f>
        <v>2000</v>
      </c>
      <c r="N744" s="14">
        <f xml:space="preserve"> M744 * $Q$3</f>
        <v>30</v>
      </c>
      <c r="O744" s="5"/>
    </row>
    <row r="745" spans="1:15">
      <c r="A745" s="2">
        <v>744</v>
      </c>
      <c r="B745" s="4">
        <f>DAY(E745)</f>
        <v>7</v>
      </c>
      <c r="C745" s="4">
        <f>MONTH(E745)</f>
        <v>5</v>
      </c>
      <c r="D745" s="4">
        <f>YEAR(E745)</f>
        <v>2023</v>
      </c>
      <c r="E745" s="17">
        <v>45053</v>
      </c>
      <c r="F745" s="4" t="s">
        <v>767</v>
      </c>
      <c r="G745" s="4" t="s">
        <v>15</v>
      </c>
      <c r="H745" s="4">
        <v>40</v>
      </c>
      <c r="I745" s="4" t="str" cm="1">
        <f t="array" ref="I745">_xlfn.IFS(
  H745&lt;30,"Young Adult",
  H745&lt;50,"Adult",
  H745&gt;=50,"Senior"
)</f>
        <v>Adult</v>
      </c>
      <c r="J745" s="4" t="s">
        <v>23</v>
      </c>
      <c r="K745" s="4">
        <v>1</v>
      </c>
      <c r="L745" s="5">
        <v>25</v>
      </c>
      <c r="M745" s="5">
        <f xml:space="preserve"> K745*L745</f>
        <v>25</v>
      </c>
      <c r="N745" s="14">
        <f xml:space="preserve"> M745 * $Q$3</f>
        <v>0.375</v>
      </c>
      <c r="O745" s="5"/>
    </row>
    <row r="746" spans="1:15">
      <c r="A746" s="2">
        <v>745</v>
      </c>
      <c r="B746" s="4">
        <f>DAY(E746)</f>
        <v>13</v>
      </c>
      <c r="C746" s="4">
        <f>MONTH(E746)</f>
        <v>4</v>
      </c>
      <c r="D746" s="4">
        <f>YEAR(E746)</f>
        <v>2023</v>
      </c>
      <c r="E746" s="17">
        <v>45029</v>
      </c>
      <c r="F746" s="4" t="s">
        <v>768</v>
      </c>
      <c r="G746" s="4" t="s">
        <v>15</v>
      </c>
      <c r="H746" s="4">
        <v>54</v>
      </c>
      <c r="I746" s="4" t="str" cm="1">
        <f t="array" ref="I746">_xlfn.IFS(
  H746&lt;30,"Young Adult",
  H746&lt;50,"Adult",
  H746&gt;=50,"Senior"
)</f>
        <v>Senior</v>
      </c>
      <c r="J746" s="4" t="s">
        <v>16</v>
      </c>
      <c r="K746" s="4">
        <v>2</v>
      </c>
      <c r="L746" s="5">
        <v>50</v>
      </c>
      <c r="M746" s="5">
        <f xml:space="preserve"> K746*L746</f>
        <v>100</v>
      </c>
      <c r="N746" s="14">
        <f xml:space="preserve"> M746 * $Q$3</f>
        <v>1.5</v>
      </c>
      <c r="O746" s="5"/>
    </row>
    <row r="747" spans="1:15">
      <c r="A747" s="2">
        <v>746</v>
      </c>
      <c r="B747" s="4">
        <f>DAY(E747)</f>
        <v>11</v>
      </c>
      <c r="C747" s="4">
        <f>MONTH(E747)</f>
        <v>1</v>
      </c>
      <c r="D747" s="4">
        <f>YEAR(E747)</f>
        <v>2023</v>
      </c>
      <c r="E747" s="3">
        <v>44937</v>
      </c>
      <c r="F747" s="4" t="s">
        <v>769</v>
      </c>
      <c r="G747" s="4" t="s">
        <v>19</v>
      </c>
      <c r="H747" s="4">
        <v>33</v>
      </c>
      <c r="I747" s="4" t="str" cm="1">
        <f t="array" ref="I747">_xlfn.IFS(
  H747&lt;30,"Young Adult",
  H747&lt;50,"Adult",
  H747&gt;=50,"Senior"
)</f>
        <v>Adult</v>
      </c>
      <c r="J747" s="4" t="s">
        <v>20</v>
      </c>
      <c r="K747" s="4">
        <v>3</v>
      </c>
      <c r="L747" s="5">
        <v>30</v>
      </c>
      <c r="M747" s="5">
        <f xml:space="preserve"> K747*L747</f>
        <v>90</v>
      </c>
      <c r="N747" s="14">
        <f xml:space="preserve"> M747 * $Q$3</f>
        <v>1.3499999999999999</v>
      </c>
      <c r="O747" s="5"/>
    </row>
    <row r="748" spans="1:15">
      <c r="A748" s="2">
        <v>747</v>
      </c>
      <c r="B748" s="4">
        <f>DAY(E748)</f>
        <v>15</v>
      </c>
      <c r="C748" s="4">
        <f>MONTH(E748)</f>
        <v>11</v>
      </c>
      <c r="D748" s="4">
        <f>YEAR(E748)</f>
        <v>2023</v>
      </c>
      <c r="E748" s="3">
        <v>45245</v>
      </c>
      <c r="F748" s="4" t="s">
        <v>770</v>
      </c>
      <c r="G748" s="4" t="s">
        <v>15</v>
      </c>
      <c r="H748" s="4">
        <v>23</v>
      </c>
      <c r="I748" s="4" t="str" cm="1">
        <f t="array" ref="I748">_xlfn.IFS(
  H748&lt;30,"Young Adult",
  H748&lt;50,"Adult",
  H748&gt;=50,"Senior"
)</f>
        <v>Young Adult</v>
      </c>
      <c r="J748" s="4" t="s">
        <v>16</v>
      </c>
      <c r="K748" s="4">
        <v>1</v>
      </c>
      <c r="L748" s="5">
        <v>30</v>
      </c>
      <c r="M748" s="5">
        <f xml:space="preserve"> K748*L748</f>
        <v>30</v>
      </c>
      <c r="N748" s="14">
        <f xml:space="preserve"> M748 * $Q$3</f>
        <v>0.44999999999999996</v>
      </c>
      <c r="O748" s="5"/>
    </row>
    <row r="749" spans="1:15">
      <c r="A749" s="2">
        <v>748</v>
      </c>
      <c r="B749" s="4">
        <f>DAY(E749)</f>
        <v>20</v>
      </c>
      <c r="C749" s="4">
        <f>MONTH(E749)</f>
        <v>3</v>
      </c>
      <c r="D749" s="4">
        <f>YEAR(E749)</f>
        <v>2023</v>
      </c>
      <c r="E749" s="17">
        <v>45005</v>
      </c>
      <c r="F749" s="4" t="s">
        <v>771</v>
      </c>
      <c r="G749" s="4" t="s">
        <v>15</v>
      </c>
      <c r="H749" s="4">
        <v>25</v>
      </c>
      <c r="I749" s="4" t="str" cm="1">
        <f t="array" ref="I749">_xlfn.IFS(
  H749&lt;30,"Young Adult",
  H749&lt;50,"Adult",
  H749&gt;=50,"Senior"
)</f>
        <v>Young Adult</v>
      </c>
      <c r="J749" s="4" t="s">
        <v>20</v>
      </c>
      <c r="K749" s="4">
        <v>3</v>
      </c>
      <c r="L749" s="5">
        <v>50</v>
      </c>
      <c r="M749" s="5">
        <f xml:space="preserve"> K749*L749</f>
        <v>150</v>
      </c>
      <c r="N749" s="14">
        <f xml:space="preserve"> M749 * $Q$3</f>
        <v>2.25</v>
      </c>
      <c r="O749" s="5"/>
    </row>
    <row r="750" spans="1:15">
      <c r="A750" s="2">
        <v>749</v>
      </c>
      <c r="B750" s="4">
        <f>DAY(E750)</f>
        <v>3</v>
      </c>
      <c r="C750" s="4">
        <f>MONTH(E750)</f>
        <v>5</v>
      </c>
      <c r="D750" s="4">
        <f>YEAR(E750)</f>
        <v>2023</v>
      </c>
      <c r="E750" s="17">
        <v>45049</v>
      </c>
      <c r="F750" s="4" t="s">
        <v>772</v>
      </c>
      <c r="G750" s="4" t="s">
        <v>15</v>
      </c>
      <c r="H750" s="4">
        <v>42</v>
      </c>
      <c r="I750" s="4" t="str" cm="1">
        <f t="array" ref="I750">_xlfn.IFS(
  H750&lt;30,"Young Adult",
  H750&lt;50,"Adult",
  H750&gt;=50,"Senior"
)</f>
        <v>Adult</v>
      </c>
      <c r="J750" s="4" t="s">
        <v>16</v>
      </c>
      <c r="K750" s="4">
        <v>1</v>
      </c>
      <c r="L750" s="5">
        <v>30</v>
      </c>
      <c r="M750" s="5">
        <f xml:space="preserve"> K750*L750</f>
        <v>30</v>
      </c>
      <c r="N750" s="14">
        <f xml:space="preserve"> M750 * $Q$3</f>
        <v>0.44999999999999996</v>
      </c>
      <c r="O750" s="5"/>
    </row>
    <row r="751" spans="1:15">
      <c r="A751" s="2">
        <v>750</v>
      </c>
      <c r="B751" s="4">
        <f>DAY(E751)</f>
        <v>6</v>
      </c>
      <c r="C751" s="4">
        <f>MONTH(E751)</f>
        <v>3</v>
      </c>
      <c r="D751" s="4">
        <f>YEAR(E751)</f>
        <v>2023</v>
      </c>
      <c r="E751" s="17">
        <v>44991</v>
      </c>
      <c r="F751" s="4" t="s">
        <v>773</v>
      </c>
      <c r="G751" s="4" t="s">
        <v>19</v>
      </c>
      <c r="H751" s="4">
        <v>35</v>
      </c>
      <c r="I751" s="4" t="str" cm="1">
        <f t="array" ref="I751">_xlfn.IFS(
  H751&lt;30,"Young Adult",
  H751&lt;50,"Adult",
  H751&gt;=50,"Senior"
)</f>
        <v>Adult</v>
      </c>
      <c r="J751" s="4" t="s">
        <v>20</v>
      </c>
      <c r="K751" s="4">
        <v>3</v>
      </c>
      <c r="L751" s="5">
        <v>25</v>
      </c>
      <c r="M751" s="5">
        <f xml:space="preserve"> K751*L751</f>
        <v>75</v>
      </c>
      <c r="N751" s="14">
        <f xml:space="preserve"> M751 * $Q$3</f>
        <v>1.125</v>
      </c>
      <c r="O751" s="5"/>
    </row>
    <row r="752" spans="1:15">
      <c r="A752" s="2">
        <v>751</v>
      </c>
      <c r="B752" s="4">
        <f>DAY(E752)</f>
        <v>31</v>
      </c>
      <c r="C752" s="4">
        <f>MONTH(E752)</f>
        <v>8</v>
      </c>
      <c r="D752" s="4">
        <f>YEAR(E752)</f>
        <v>2023</v>
      </c>
      <c r="E752" s="3">
        <v>45169</v>
      </c>
      <c r="F752" s="4" t="s">
        <v>774</v>
      </c>
      <c r="G752" s="4" t="s">
        <v>19</v>
      </c>
      <c r="H752" s="4">
        <v>42</v>
      </c>
      <c r="I752" s="4" t="str" cm="1">
        <f t="array" ref="I752">_xlfn.IFS(
  H752&lt;30,"Young Adult",
  H752&lt;50,"Adult",
  H752&gt;=50,"Senior"
)</f>
        <v>Adult</v>
      </c>
      <c r="J752" s="4" t="s">
        <v>20</v>
      </c>
      <c r="K752" s="4">
        <v>2</v>
      </c>
      <c r="L752" s="5">
        <v>25</v>
      </c>
      <c r="M752" s="5">
        <f xml:space="preserve"> K752*L752</f>
        <v>50</v>
      </c>
      <c r="N752" s="14">
        <f xml:space="preserve"> M752 * $Q$3</f>
        <v>0.75</v>
      </c>
      <c r="O752" s="5"/>
    </row>
    <row r="753" spans="1:15">
      <c r="A753" s="2">
        <v>752</v>
      </c>
      <c r="B753" s="4">
        <f>DAY(E753)</f>
        <v>9</v>
      </c>
      <c r="C753" s="4">
        <f>MONTH(E753)</f>
        <v>12</v>
      </c>
      <c r="D753" s="4">
        <f>YEAR(E753)</f>
        <v>2023</v>
      </c>
      <c r="E753" s="3">
        <v>45269</v>
      </c>
      <c r="F753" s="4" t="s">
        <v>775</v>
      </c>
      <c r="G753" s="4" t="s">
        <v>15</v>
      </c>
      <c r="H753" s="4">
        <v>29</v>
      </c>
      <c r="I753" s="4" t="str" cm="1">
        <f t="array" ref="I753">_xlfn.IFS(
  H753&lt;30,"Young Adult",
  H753&lt;50,"Adult",
  H753&gt;=50,"Senior"
)</f>
        <v>Young Adult</v>
      </c>
      <c r="J753" s="4" t="s">
        <v>20</v>
      </c>
      <c r="K753" s="4">
        <v>2</v>
      </c>
      <c r="L753" s="5">
        <v>50</v>
      </c>
      <c r="M753" s="5">
        <f xml:space="preserve"> K753*L753</f>
        <v>100</v>
      </c>
      <c r="N753" s="14">
        <f xml:space="preserve"> M753 * $Q$3</f>
        <v>1.5</v>
      </c>
      <c r="O753" s="5"/>
    </row>
    <row r="754" spans="1:15">
      <c r="A754" s="2">
        <v>753</v>
      </c>
      <c r="B754" s="4">
        <f>DAY(E754)</f>
        <v>28</v>
      </c>
      <c r="C754" s="4">
        <f>MONTH(E754)</f>
        <v>2</v>
      </c>
      <c r="D754" s="4">
        <f>YEAR(E754)</f>
        <v>2023</v>
      </c>
      <c r="E754" s="3">
        <v>44985</v>
      </c>
      <c r="F754" s="4" t="s">
        <v>776</v>
      </c>
      <c r="G754" s="4" t="s">
        <v>19</v>
      </c>
      <c r="H754" s="4">
        <v>32</v>
      </c>
      <c r="I754" s="4" t="str" cm="1">
        <f t="array" ref="I754">_xlfn.IFS(
  H754&lt;30,"Young Adult",
  H754&lt;50,"Adult",
  H754&gt;=50,"Senior"
)</f>
        <v>Adult</v>
      </c>
      <c r="J754" s="4" t="s">
        <v>20</v>
      </c>
      <c r="K754" s="4">
        <v>1</v>
      </c>
      <c r="L754" s="5">
        <v>30</v>
      </c>
      <c r="M754" s="5">
        <f xml:space="preserve"> K754*L754</f>
        <v>30</v>
      </c>
      <c r="N754" s="14">
        <f xml:space="preserve"> M754 * $Q$3</f>
        <v>0.44999999999999996</v>
      </c>
      <c r="O754" s="5"/>
    </row>
    <row r="755" spans="1:15">
      <c r="A755" s="2">
        <v>754</v>
      </c>
      <c r="B755" s="4">
        <f>DAY(E755)</f>
        <v>16</v>
      </c>
      <c r="C755" s="4">
        <f>MONTH(E755)</f>
        <v>10</v>
      </c>
      <c r="D755" s="4">
        <f>YEAR(E755)</f>
        <v>2023</v>
      </c>
      <c r="E755" s="3">
        <v>45215</v>
      </c>
      <c r="F755" s="4" t="s">
        <v>777</v>
      </c>
      <c r="G755" s="4" t="s">
        <v>19</v>
      </c>
      <c r="H755" s="4">
        <v>43</v>
      </c>
      <c r="I755" s="4" t="str" cm="1">
        <f t="array" ref="I755">_xlfn.IFS(
  H755&lt;30,"Young Adult",
  H755&lt;50,"Adult",
  H755&gt;=50,"Senior"
)</f>
        <v>Adult</v>
      </c>
      <c r="J755" s="4" t="s">
        <v>23</v>
      </c>
      <c r="K755" s="4">
        <v>4</v>
      </c>
      <c r="L755" s="5">
        <v>25</v>
      </c>
      <c r="M755" s="5">
        <f xml:space="preserve"> K755*L755</f>
        <v>100</v>
      </c>
      <c r="N755" s="14">
        <f xml:space="preserve"> M755 * $Q$3</f>
        <v>1.5</v>
      </c>
      <c r="O755" s="5"/>
    </row>
    <row r="756" spans="1:15">
      <c r="A756" s="2">
        <v>755</v>
      </c>
      <c r="B756" s="4">
        <f>DAY(E756)</f>
        <v>22</v>
      </c>
      <c r="C756" s="4">
        <f>MONTH(E756)</f>
        <v>4</v>
      </c>
      <c r="D756" s="4">
        <f>YEAR(E756)</f>
        <v>2023</v>
      </c>
      <c r="E756" s="17">
        <v>45038</v>
      </c>
      <c r="F756" s="4" t="s">
        <v>778</v>
      </c>
      <c r="G756" s="4" t="s">
        <v>19</v>
      </c>
      <c r="H756" s="4">
        <v>58</v>
      </c>
      <c r="I756" s="4" t="str" cm="1">
        <f t="array" ref="I756">_xlfn.IFS(
  H756&lt;30,"Young Adult",
  H756&lt;50,"Adult",
  H756&gt;=50,"Senior"
)</f>
        <v>Senior</v>
      </c>
      <c r="J756" s="4" t="s">
        <v>20</v>
      </c>
      <c r="K756" s="4">
        <v>3</v>
      </c>
      <c r="L756" s="5">
        <v>25</v>
      </c>
      <c r="M756" s="5">
        <f xml:space="preserve"> K756*L756</f>
        <v>75</v>
      </c>
      <c r="N756" s="14">
        <f xml:space="preserve"> M756 * $Q$3</f>
        <v>1.125</v>
      </c>
      <c r="O756" s="5"/>
    </row>
    <row r="757" spans="1:15">
      <c r="A757" s="2">
        <v>756</v>
      </c>
      <c r="B757" s="4">
        <f>DAY(E757)</f>
        <v>27</v>
      </c>
      <c r="C757" s="4">
        <f>MONTH(E757)</f>
        <v>8</v>
      </c>
      <c r="D757" s="4">
        <f>YEAR(E757)</f>
        <v>2023</v>
      </c>
      <c r="E757" s="3">
        <v>45165</v>
      </c>
      <c r="F757" s="4" t="s">
        <v>779</v>
      </c>
      <c r="G757" s="4" t="s">
        <v>19</v>
      </c>
      <c r="H757" s="4">
        <v>62</v>
      </c>
      <c r="I757" s="4" t="str" cm="1">
        <f t="array" ref="I757">_xlfn.IFS(
  H757&lt;30,"Young Adult",
  H757&lt;50,"Adult",
  H757&gt;=50,"Senior"
)</f>
        <v>Senior</v>
      </c>
      <c r="J757" s="4" t="s">
        <v>23</v>
      </c>
      <c r="K757" s="4">
        <v>4</v>
      </c>
      <c r="L757" s="5">
        <v>300</v>
      </c>
      <c r="M757" s="5">
        <f xml:space="preserve"> K757*L757</f>
        <v>1200</v>
      </c>
      <c r="N757" s="14">
        <f xml:space="preserve"> M757 * $Q$3</f>
        <v>18</v>
      </c>
      <c r="O757" s="5"/>
    </row>
    <row r="758" spans="1:15">
      <c r="A758" s="2">
        <v>757</v>
      </c>
      <c r="B758" s="4">
        <f>DAY(E758)</f>
        <v>25</v>
      </c>
      <c r="C758" s="4">
        <f>MONTH(E758)</f>
        <v>12</v>
      </c>
      <c r="D758" s="4">
        <f>YEAR(E758)</f>
        <v>2023</v>
      </c>
      <c r="E758" s="3">
        <v>45285</v>
      </c>
      <c r="F758" s="4" t="s">
        <v>780</v>
      </c>
      <c r="G758" s="4" t="s">
        <v>19</v>
      </c>
      <c r="H758" s="4">
        <v>43</v>
      </c>
      <c r="I758" s="4" t="str" cm="1">
        <f t="array" ref="I758">_xlfn.IFS(
  H758&lt;30,"Young Adult",
  H758&lt;50,"Adult",
  H758&gt;=50,"Senior"
)</f>
        <v>Adult</v>
      </c>
      <c r="J758" s="4" t="s">
        <v>23</v>
      </c>
      <c r="K758" s="4">
        <v>4</v>
      </c>
      <c r="L758" s="5">
        <v>300</v>
      </c>
      <c r="M758" s="5">
        <f xml:space="preserve"> K758*L758</f>
        <v>1200</v>
      </c>
      <c r="N758" s="14">
        <f xml:space="preserve"> M758 * $Q$3</f>
        <v>18</v>
      </c>
      <c r="O758" s="5"/>
    </row>
    <row r="759" spans="1:15">
      <c r="A759" s="2">
        <v>758</v>
      </c>
      <c r="B759" s="4">
        <f>DAY(E759)</f>
        <v>12</v>
      </c>
      <c r="C759" s="4">
        <f>MONTH(E759)</f>
        <v>5</v>
      </c>
      <c r="D759" s="4">
        <f>YEAR(E759)</f>
        <v>2023</v>
      </c>
      <c r="E759" s="17">
        <v>45058</v>
      </c>
      <c r="F759" s="4" t="s">
        <v>781</v>
      </c>
      <c r="G759" s="4" t="s">
        <v>15</v>
      </c>
      <c r="H759" s="4">
        <v>64</v>
      </c>
      <c r="I759" s="4" t="str" cm="1">
        <f t="array" ref="I759">_xlfn.IFS(
  H759&lt;30,"Young Adult",
  H759&lt;50,"Adult",
  H759&gt;=50,"Senior"
)</f>
        <v>Senior</v>
      </c>
      <c r="J759" s="4" t="s">
        <v>20</v>
      </c>
      <c r="K759" s="4">
        <v>4</v>
      </c>
      <c r="L759" s="5">
        <v>25</v>
      </c>
      <c r="M759" s="5">
        <f xml:space="preserve"> K759*L759</f>
        <v>100</v>
      </c>
      <c r="N759" s="14">
        <f xml:space="preserve"> M759 * $Q$3</f>
        <v>1.5</v>
      </c>
      <c r="O759" s="5"/>
    </row>
    <row r="760" spans="1:15">
      <c r="A760" s="2">
        <v>759</v>
      </c>
      <c r="B760" s="4">
        <f>DAY(E760)</f>
        <v>8</v>
      </c>
      <c r="C760" s="4">
        <f>MONTH(E760)</f>
        <v>7</v>
      </c>
      <c r="D760" s="4">
        <f>YEAR(E760)</f>
        <v>2023</v>
      </c>
      <c r="E760" s="3">
        <v>45115</v>
      </c>
      <c r="F760" s="4" t="s">
        <v>782</v>
      </c>
      <c r="G760" s="4" t="s">
        <v>15</v>
      </c>
      <c r="H760" s="4">
        <v>49</v>
      </c>
      <c r="I760" s="4" t="str" cm="1">
        <f t="array" ref="I760">_xlfn.IFS(
  H760&lt;30,"Young Adult",
  H760&lt;50,"Adult",
  H760&gt;=50,"Senior"
)</f>
        <v>Adult</v>
      </c>
      <c r="J760" s="4" t="s">
        <v>23</v>
      </c>
      <c r="K760" s="4">
        <v>2</v>
      </c>
      <c r="L760" s="5">
        <v>50</v>
      </c>
      <c r="M760" s="5">
        <f xml:space="preserve"> K760*L760</f>
        <v>100</v>
      </c>
      <c r="N760" s="14">
        <f xml:space="preserve"> M760 * $Q$3</f>
        <v>1.5</v>
      </c>
      <c r="O760" s="5"/>
    </row>
    <row r="761" spans="1:15">
      <c r="A761" s="2">
        <v>760</v>
      </c>
      <c r="B761" s="4">
        <f>DAY(E761)</f>
        <v>27</v>
      </c>
      <c r="C761" s="4">
        <f>MONTH(E761)</f>
        <v>3</v>
      </c>
      <c r="D761" s="4">
        <f>YEAR(E761)</f>
        <v>2023</v>
      </c>
      <c r="E761" s="17">
        <v>45012</v>
      </c>
      <c r="F761" s="4" t="s">
        <v>783</v>
      </c>
      <c r="G761" s="4" t="s">
        <v>15</v>
      </c>
      <c r="H761" s="4">
        <v>27</v>
      </c>
      <c r="I761" s="4" t="str" cm="1">
        <f t="array" ref="I761">_xlfn.IFS(
  H761&lt;30,"Young Adult",
  H761&lt;50,"Adult",
  H761&gt;=50,"Senior"
)</f>
        <v>Young Adult</v>
      </c>
      <c r="J761" s="4" t="s">
        <v>16</v>
      </c>
      <c r="K761" s="4">
        <v>1</v>
      </c>
      <c r="L761" s="5">
        <v>500</v>
      </c>
      <c r="M761" s="5">
        <f xml:space="preserve"> K761*L761</f>
        <v>500</v>
      </c>
      <c r="N761" s="14">
        <f xml:space="preserve"> M761 * $Q$3</f>
        <v>7.5</v>
      </c>
      <c r="O761" s="5"/>
    </row>
    <row r="762" spans="1:15">
      <c r="A762" s="2">
        <v>761</v>
      </c>
      <c r="B762" s="4">
        <f>DAY(E762)</f>
        <v>7</v>
      </c>
      <c r="C762" s="4">
        <f>MONTH(E762)</f>
        <v>11</v>
      </c>
      <c r="D762" s="4">
        <f>YEAR(E762)</f>
        <v>2023</v>
      </c>
      <c r="E762" s="3">
        <v>45237</v>
      </c>
      <c r="F762" s="4" t="s">
        <v>784</v>
      </c>
      <c r="G762" s="4" t="s">
        <v>19</v>
      </c>
      <c r="H762" s="4">
        <v>33</v>
      </c>
      <c r="I762" s="4" t="str" cm="1">
        <f t="array" ref="I762">_xlfn.IFS(
  H762&lt;30,"Young Adult",
  H762&lt;50,"Adult",
  H762&gt;=50,"Senior"
)</f>
        <v>Adult</v>
      </c>
      <c r="J762" s="4" t="s">
        <v>20</v>
      </c>
      <c r="K762" s="4">
        <v>1</v>
      </c>
      <c r="L762" s="5">
        <v>500</v>
      </c>
      <c r="M762" s="5">
        <f xml:space="preserve"> K762*L762</f>
        <v>500</v>
      </c>
      <c r="N762" s="14">
        <f xml:space="preserve"> M762 * $Q$3</f>
        <v>7.5</v>
      </c>
      <c r="O762" s="5"/>
    </row>
    <row r="763" spans="1:15">
      <c r="A763" s="2">
        <v>762</v>
      </c>
      <c r="B763" s="4">
        <f>DAY(E763)</f>
        <v>7</v>
      </c>
      <c r="C763" s="4">
        <f>MONTH(E763)</f>
        <v>11</v>
      </c>
      <c r="D763" s="4">
        <f>YEAR(E763)</f>
        <v>2023</v>
      </c>
      <c r="E763" s="3">
        <v>45237</v>
      </c>
      <c r="F763" s="4" t="s">
        <v>785</v>
      </c>
      <c r="G763" s="4" t="s">
        <v>19</v>
      </c>
      <c r="H763" s="4">
        <v>24</v>
      </c>
      <c r="I763" s="4" t="str" cm="1">
        <f t="array" ref="I763">_xlfn.IFS(
  H763&lt;30,"Young Adult",
  H763&lt;50,"Adult",
  H763&gt;=50,"Senior"
)</f>
        <v>Young Adult</v>
      </c>
      <c r="J763" s="4" t="s">
        <v>23</v>
      </c>
      <c r="K763" s="4">
        <v>2</v>
      </c>
      <c r="L763" s="5">
        <v>25</v>
      </c>
      <c r="M763" s="5">
        <f xml:space="preserve"> K763*L763</f>
        <v>50</v>
      </c>
      <c r="N763" s="14">
        <f xml:space="preserve"> M763 * $Q$3</f>
        <v>0.75</v>
      </c>
      <c r="O763" s="5"/>
    </row>
    <row r="764" spans="1:15">
      <c r="A764" s="2">
        <v>763</v>
      </c>
      <c r="B764" s="4">
        <f>DAY(E764)</f>
        <v>28</v>
      </c>
      <c r="C764" s="4">
        <f>MONTH(E764)</f>
        <v>2</v>
      </c>
      <c r="D764" s="4">
        <f>YEAR(E764)</f>
        <v>2023</v>
      </c>
      <c r="E764" s="3">
        <v>44985</v>
      </c>
      <c r="F764" s="4" t="s">
        <v>786</v>
      </c>
      <c r="G764" s="4" t="s">
        <v>15</v>
      </c>
      <c r="H764" s="4">
        <v>34</v>
      </c>
      <c r="I764" s="4" t="str" cm="1">
        <f t="array" ref="I764">_xlfn.IFS(
  H764&lt;30,"Young Adult",
  H764&lt;50,"Adult",
  H764&gt;=50,"Senior"
)</f>
        <v>Adult</v>
      </c>
      <c r="J764" s="4" t="s">
        <v>20</v>
      </c>
      <c r="K764" s="4">
        <v>2</v>
      </c>
      <c r="L764" s="5">
        <v>25</v>
      </c>
      <c r="M764" s="5">
        <f xml:space="preserve"> K764*L764</f>
        <v>50</v>
      </c>
      <c r="N764" s="14">
        <f xml:space="preserve"> M764 * $Q$3</f>
        <v>0.75</v>
      </c>
      <c r="O764" s="5"/>
    </row>
    <row r="765" spans="1:15">
      <c r="A765" s="2">
        <v>764</v>
      </c>
      <c r="B765" s="4">
        <f>DAY(E765)</f>
        <v>25</v>
      </c>
      <c r="C765" s="4">
        <f>MONTH(E765)</f>
        <v>3</v>
      </c>
      <c r="D765" s="4">
        <f>YEAR(E765)</f>
        <v>2023</v>
      </c>
      <c r="E765" s="17">
        <v>45010</v>
      </c>
      <c r="F765" s="4" t="s">
        <v>787</v>
      </c>
      <c r="G765" s="4" t="s">
        <v>19</v>
      </c>
      <c r="H765" s="4">
        <v>40</v>
      </c>
      <c r="I765" s="4" t="str" cm="1">
        <f t="array" ref="I765">_xlfn.IFS(
  H765&lt;30,"Young Adult",
  H765&lt;50,"Adult",
  H765&gt;=50,"Senior"
)</f>
        <v>Adult</v>
      </c>
      <c r="J765" s="4" t="s">
        <v>20</v>
      </c>
      <c r="K765" s="4">
        <v>1</v>
      </c>
      <c r="L765" s="5">
        <v>25</v>
      </c>
      <c r="M765" s="5">
        <f xml:space="preserve"> K765*L765</f>
        <v>25</v>
      </c>
      <c r="N765" s="14">
        <f xml:space="preserve"> M765 * $Q$3</f>
        <v>0.375</v>
      </c>
      <c r="O765" s="5"/>
    </row>
    <row r="766" spans="1:15">
      <c r="A766" s="2">
        <v>765</v>
      </c>
      <c r="B766" s="4">
        <f>DAY(E766)</f>
        <v>9</v>
      </c>
      <c r="C766" s="4">
        <f>MONTH(E766)</f>
        <v>6</v>
      </c>
      <c r="D766" s="4">
        <f>YEAR(E766)</f>
        <v>2023</v>
      </c>
      <c r="E766" s="3">
        <v>45086</v>
      </c>
      <c r="F766" s="4" t="s">
        <v>788</v>
      </c>
      <c r="G766" s="4" t="s">
        <v>15</v>
      </c>
      <c r="H766" s="4">
        <v>43</v>
      </c>
      <c r="I766" s="4" t="str" cm="1">
        <f t="array" ref="I766">_xlfn.IFS(
  H766&lt;30,"Young Adult",
  H766&lt;50,"Adult",
  H766&gt;=50,"Senior"
)</f>
        <v>Adult</v>
      </c>
      <c r="J766" s="4" t="s">
        <v>20</v>
      </c>
      <c r="K766" s="4">
        <v>4</v>
      </c>
      <c r="L766" s="5">
        <v>50</v>
      </c>
      <c r="M766" s="5">
        <f xml:space="preserve"> K766*L766</f>
        <v>200</v>
      </c>
      <c r="N766" s="14">
        <f xml:space="preserve"> M766 * $Q$3</f>
        <v>3</v>
      </c>
      <c r="O766" s="5"/>
    </row>
    <row r="767" spans="1:15">
      <c r="A767" s="2">
        <v>766</v>
      </c>
      <c r="B767" s="4">
        <f>DAY(E767)</f>
        <v>25</v>
      </c>
      <c r="C767" s="4">
        <f>MONTH(E767)</f>
        <v>2</v>
      </c>
      <c r="D767" s="4">
        <f>YEAR(E767)</f>
        <v>2023</v>
      </c>
      <c r="E767" s="3">
        <v>44982</v>
      </c>
      <c r="F767" s="4" t="s">
        <v>789</v>
      </c>
      <c r="G767" s="4" t="s">
        <v>15</v>
      </c>
      <c r="H767" s="4">
        <v>38</v>
      </c>
      <c r="I767" s="4" t="str" cm="1">
        <f t="array" ref="I767">_xlfn.IFS(
  H767&lt;30,"Young Adult",
  H767&lt;50,"Adult",
  H767&gt;=50,"Senior"
)</f>
        <v>Adult</v>
      </c>
      <c r="J767" s="4" t="s">
        <v>23</v>
      </c>
      <c r="K767" s="4">
        <v>3</v>
      </c>
      <c r="L767" s="5">
        <v>300</v>
      </c>
      <c r="M767" s="5">
        <f xml:space="preserve"> K767*L767</f>
        <v>900</v>
      </c>
      <c r="N767" s="14">
        <f xml:space="preserve"> M767 * $Q$3</f>
        <v>13.5</v>
      </c>
      <c r="O767" s="5"/>
    </row>
    <row r="768" spans="1:15">
      <c r="A768" s="2">
        <v>767</v>
      </c>
      <c r="B768" s="4">
        <f>DAY(E768)</f>
        <v>24</v>
      </c>
      <c r="C768" s="4">
        <f>MONTH(E768)</f>
        <v>10</v>
      </c>
      <c r="D768" s="4">
        <f>YEAR(E768)</f>
        <v>2023</v>
      </c>
      <c r="E768" s="3">
        <v>45223</v>
      </c>
      <c r="F768" s="4" t="s">
        <v>790</v>
      </c>
      <c r="G768" s="4" t="s">
        <v>15</v>
      </c>
      <c r="H768" s="4">
        <v>39</v>
      </c>
      <c r="I768" s="4" t="str" cm="1">
        <f t="array" ref="I768">_xlfn.IFS(
  H768&lt;30,"Young Adult",
  H768&lt;50,"Adult",
  H768&gt;=50,"Senior"
)</f>
        <v>Adult</v>
      </c>
      <c r="J768" s="4" t="s">
        <v>16</v>
      </c>
      <c r="K768" s="4">
        <v>3</v>
      </c>
      <c r="L768" s="5">
        <v>25</v>
      </c>
      <c r="M768" s="5">
        <f xml:space="preserve"> K768*L768</f>
        <v>75</v>
      </c>
      <c r="N768" s="14">
        <f xml:space="preserve"> M768 * $Q$3</f>
        <v>1.125</v>
      </c>
      <c r="O768" s="5"/>
    </row>
    <row r="769" spans="1:15">
      <c r="A769" s="2">
        <v>768</v>
      </c>
      <c r="B769" s="4">
        <f>DAY(E769)</f>
        <v>14</v>
      </c>
      <c r="C769" s="4">
        <f>MONTH(E769)</f>
        <v>1</v>
      </c>
      <c r="D769" s="4">
        <f>YEAR(E769)</f>
        <v>2023</v>
      </c>
      <c r="E769" s="3">
        <v>44940</v>
      </c>
      <c r="F769" s="4" t="s">
        <v>791</v>
      </c>
      <c r="G769" s="4" t="s">
        <v>19</v>
      </c>
      <c r="H769" s="4">
        <v>24</v>
      </c>
      <c r="I769" s="4" t="str" cm="1">
        <f t="array" ref="I769">_xlfn.IFS(
  H769&lt;30,"Young Adult",
  H769&lt;50,"Adult",
  H769&gt;=50,"Senior"
)</f>
        <v>Young Adult</v>
      </c>
      <c r="J769" s="4" t="s">
        <v>16</v>
      </c>
      <c r="K769" s="4">
        <v>3</v>
      </c>
      <c r="L769" s="5">
        <v>25</v>
      </c>
      <c r="M769" s="5">
        <f xml:space="preserve"> K769*L769</f>
        <v>75</v>
      </c>
      <c r="N769" s="14">
        <f xml:space="preserve"> M769 * $Q$3</f>
        <v>1.125</v>
      </c>
      <c r="O769" s="5"/>
    </row>
    <row r="770" spans="1:15">
      <c r="A770" s="2">
        <v>769</v>
      </c>
      <c r="B770" s="4">
        <f>DAY(E770)</f>
        <v>9</v>
      </c>
      <c r="C770" s="4">
        <f>MONTH(E770)</f>
        <v>6</v>
      </c>
      <c r="D770" s="4">
        <f>YEAR(E770)</f>
        <v>2023</v>
      </c>
      <c r="E770" s="3">
        <v>45086</v>
      </c>
      <c r="F770" s="4" t="s">
        <v>792</v>
      </c>
      <c r="G770" s="4" t="s">
        <v>19</v>
      </c>
      <c r="H770" s="4">
        <v>31</v>
      </c>
      <c r="I770" s="4" t="str" cm="1">
        <f t="array" ref="I770">_xlfn.IFS(
  H770&lt;30,"Young Adult",
  H770&lt;50,"Adult",
  H770&gt;=50,"Senior"
)</f>
        <v>Adult</v>
      </c>
      <c r="J770" s="4" t="s">
        <v>23</v>
      </c>
      <c r="K770" s="4">
        <v>4</v>
      </c>
      <c r="L770" s="5">
        <v>30</v>
      </c>
      <c r="M770" s="5">
        <f xml:space="preserve"> K770*L770</f>
        <v>120</v>
      </c>
      <c r="N770" s="14">
        <f xml:space="preserve"> M770 * $Q$3</f>
        <v>1.7999999999999998</v>
      </c>
      <c r="O770" s="5"/>
    </row>
    <row r="771" spans="1:15">
      <c r="A771" s="2">
        <v>770</v>
      </c>
      <c r="B771" s="4">
        <f>DAY(E771)</f>
        <v>22</v>
      </c>
      <c r="C771" s="4">
        <f>MONTH(E771)</f>
        <v>10</v>
      </c>
      <c r="D771" s="4">
        <f>YEAR(E771)</f>
        <v>2023</v>
      </c>
      <c r="E771" s="3">
        <v>45221</v>
      </c>
      <c r="F771" s="4" t="s">
        <v>793</v>
      </c>
      <c r="G771" s="4" t="s">
        <v>15</v>
      </c>
      <c r="H771" s="4">
        <v>32</v>
      </c>
      <c r="I771" s="4" t="str" cm="1">
        <f t="array" ref="I771">_xlfn.IFS(
  H771&lt;30,"Young Adult",
  H771&lt;50,"Adult",
  H771&gt;=50,"Senior"
)</f>
        <v>Adult</v>
      </c>
      <c r="J771" s="4" t="s">
        <v>20</v>
      </c>
      <c r="K771" s="4">
        <v>1</v>
      </c>
      <c r="L771" s="5">
        <v>50</v>
      </c>
      <c r="M771" s="5">
        <f xml:space="preserve"> K771*L771</f>
        <v>50</v>
      </c>
      <c r="N771" s="14">
        <f xml:space="preserve"> M771 * $Q$3</f>
        <v>0.75</v>
      </c>
      <c r="O771" s="5"/>
    </row>
    <row r="772" spans="1:15">
      <c r="A772" s="2">
        <v>771</v>
      </c>
      <c r="B772" s="4">
        <f>DAY(E772)</f>
        <v>13</v>
      </c>
      <c r="C772" s="4">
        <f>MONTH(E772)</f>
        <v>12</v>
      </c>
      <c r="D772" s="4">
        <f>YEAR(E772)</f>
        <v>2023</v>
      </c>
      <c r="E772" s="3">
        <v>45273</v>
      </c>
      <c r="F772" s="4" t="s">
        <v>794</v>
      </c>
      <c r="G772" s="4" t="s">
        <v>15</v>
      </c>
      <c r="H772" s="4">
        <v>24</v>
      </c>
      <c r="I772" s="4" t="str" cm="1">
        <f t="array" ref="I772">_xlfn.IFS(
  H772&lt;30,"Young Adult",
  H772&lt;50,"Adult",
  H772&gt;=50,"Senior"
)</f>
        <v>Young Adult</v>
      </c>
      <c r="J772" s="4" t="s">
        <v>23</v>
      </c>
      <c r="K772" s="4">
        <v>2</v>
      </c>
      <c r="L772" s="5">
        <v>25</v>
      </c>
      <c r="M772" s="5">
        <f xml:space="preserve"> K772*L772</f>
        <v>50</v>
      </c>
      <c r="N772" s="14">
        <f xml:space="preserve"> M772 * $Q$3</f>
        <v>0.75</v>
      </c>
      <c r="O772" s="5"/>
    </row>
    <row r="773" spans="1:15">
      <c r="A773" s="2">
        <v>772</v>
      </c>
      <c r="B773" s="4">
        <f>DAY(E773)</f>
        <v>12</v>
      </c>
      <c r="C773" s="4">
        <f>MONTH(E773)</f>
        <v>7</v>
      </c>
      <c r="D773" s="4">
        <f>YEAR(E773)</f>
        <v>2023</v>
      </c>
      <c r="E773" s="3">
        <v>45119</v>
      </c>
      <c r="F773" s="4" t="s">
        <v>795</v>
      </c>
      <c r="G773" s="4" t="s">
        <v>15</v>
      </c>
      <c r="H773" s="4">
        <v>26</v>
      </c>
      <c r="I773" s="4" t="str" cm="1">
        <f t="array" ref="I773">_xlfn.IFS(
  H773&lt;30,"Young Adult",
  H773&lt;50,"Adult",
  H773&gt;=50,"Senior"
)</f>
        <v>Young Adult</v>
      </c>
      <c r="J773" s="4" t="s">
        <v>23</v>
      </c>
      <c r="K773" s="4">
        <v>1</v>
      </c>
      <c r="L773" s="5">
        <v>30</v>
      </c>
      <c r="M773" s="5">
        <f xml:space="preserve"> K773*L773</f>
        <v>30</v>
      </c>
      <c r="N773" s="14">
        <f xml:space="preserve"> M773 * $Q$3</f>
        <v>0.44999999999999996</v>
      </c>
      <c r="O773" s="5"/>
    </row>
    <row r="774" spans="1:15">
      <c r="A774" s="2">
        <v>773</v>
      </c>
      <c r="B774" s="4">
        <f>DAY(E774)</f>
        <v>23</v>
      </c>
      <c r="C774" s="4">
        <f>MONTH(E774)</f>
        <v>7</v>
      </c>
      <c r="D774" s="4">
        <f>YEAR(E774)</f>
        <v>2023</v>
      </c>
      <c r="E774" s="3">
        <v>45130</v>
      </c>
      <c r="F774" s="4" t="s">
        <v>796</v>
      </c>
      <c r="G774" s="4" t="s">
        <v>15</v>
      </c>
      <c r="H774" s="4">
        <v>25</v>
      </c>
      <c r="I774" s="4" t="str" cm="1">
        <f t="array" ref="I774">_xlfn.IFS(
  H774&lt;30,"Young Adult",
  H774&lt;50,"Adult",
  H774&gt;=50,"Senior"
)</f>
        <v>Young Adult</v>
      </c>
      <c r="J774" s="4" t="s">
        <v>23</v>
      </c>
      <c r="K774" s="4">
        <v>4</v>
      </c>
      <c r="L774" s="5">
        <v>500</v>
      </c>
      <c r="M774" s="5">
        <f xml:space="preserve"> K774*L774</f>
        <v>2000</v>
      </c>
      <c r="N774" s="14">
        <f xml:space="preserve"> M774 * $Q$3</f>
        <v>30</v>
      </c>
      <c r="O774" s="5"/>
    </row>
    <row r="775" spans="1:15">
      <c r="A775" s="2">
        <v>774</v>
      </c>
      <c r="B775" s="4">
        <f>DAY(E775)</f>
        <v>12</v>
      </c>
      <c r="C775" s="4">
        <f>MONTH(E775)</f>
        <v>4</v>
      </c>
      <c r="D775" s="4">
        <f>YEAR(E775)</f>
        <v>2023</v>
      </c>
      <c r="E775" s="17">
        <v>45028</v>
      </c>
      <c r="F775" s="4" t="s">
        <v>797</v>
      </c>
      <c r="G775" s="4" t="s">
        <v>19</v>
      </c>
      <c r="H775" s="4">
        <v>40</v>
      </c>
      <c r="I775" s="4" t="str" cm="1">
        <f t="array" ref="I775">_xlfn.IFS(
  H775&lt;30,"Young Adult",
  H775&lt;50,"Adult",
  H775&gt;=50,"Senior"
)</f>
        <v>Adult</v>
      </c>
      <c r="J775" s="4" t="s">
        <v>20</v>
      </c>
      <c r="K775" s="4">
        <v>2</v>
      </c>
      <c r="L775" s="5">
        <v>25</v>
      </c>
      <c r="M775" s="5">
        <f xml:space="preserve"> K775*L775</f>
        <v>50</v>
      </c>
      <c r="N775" s="14">
        <f xml:space="preserve"> M775 * $Q$3</f>
        <v>0.75</v>
      </c>
      <c r="O775" s="5"/>
    </row>
    <row r="776" spans="1:15">
      <c r="A776" s="2">
        <v>775</v>
      </c>
      <c r="B776" s="4">
        <f>DAY(E776)</f>
        <v>8</v>
      </c>
      <c r="C776" s="4">
        <f>MONTH(E776)</f>
        <v>2</v>
      </c>
      <c r="D776" s="4">
        <f>YEAR(E776)</f>
        <v>2023</v>
      </c>
      <c r="E776" s="3">
        <v>44965</v>
      </c>
      <c r="F776" s="4" t="s">
        <v>798</v>
      </c>
      <c r="G776" s="4" t="s">
        <v>19</v>
      </c>
      <c r="H776" s="4">
        <v>46</v>
      </c>
      <c r="I776" s="4" t="str" cm="1">
        <f t="array" ref="I776">_xlfn.IFS(
  H776&lt;30,"Young Adult",
  H776&lt;50,"Adult",
  H776&gt;=50,"Senior"
)</f>
        <v>Adult</v>
      </c>
      <c r="J776" s="4" t="s">
        <v>23</v>
      </c>
      <c r="K776" s="4">
        <v>4</v>
      </c>
      <c r="L776" s="5">
        <v>25</v>
      </c>
      <c r="M776" s="5">
        <f xml:space="preserve"> K776*L776</f>
        <v>100</v>
      </c>
      <c r="N776" s="14">
        <f xml:space="preserve"> M776 * $Q$3</f>
        <v>1.5</v>
      </c>
      <c r="O776" s="5"/>
    </row>
    <row r="777" spans="1:15">
      <c r="A777" s="2">
        <v>776</v>
      </c>
      <c r="B777" s="4">
        <f>DAY(E777)</f>
        <v>31</v>
      </c>
      <c r="C777" s="4">
        <f>MONTH(E777)</f>
        <v>10</v>
      </c>
      <c r="D777" s="4">
        <f>YEAR(E777)</f>
        <v>2023</v>
      </c>
      <c r="E777" s="3">
        <v>45230</v>
      </c>
      <c r="F777" s="4" t="s">
        <v>799</v>
      </c>
      <c r="G777" s="4" t="s">
        <v>15</v>
      </c>
      <c r="H777" s="4">
        <v>35</v>
      </c>
      <c r="I777" s="4" t="str" cm="1">
        <f t="array" ref="I777">_xlfn.IFS(
  H777&lt;30,"Young Adult",
  H777&lt;50,"Adult",
  H777&gt;=50,"Senior"
)</f>
        <v>Adult</v>
      </c>
      <c r="J777" s="4" t="s">
        <v>20</v>
      </c>
      <c r="K777" s="4">
        <v>3</v>
      </c>
      <c r="L777" s="5">
        <v>30</v>
      </c>
      <c r="M777" s="5">
        <f xml:space="preserve"> K777*L777</f>
        <v>90</v>
      </c>
      <c r="N777" s="14">
        <f xml:space="preserve"> M777 * $Q$3</f>
        <v>1.3499999999999999</v>
      </c>
      <c r="O777" s="5"/>
    </row>
    <row r="778" spans="1:15">
      <c r="A778" s="2">
        <v>777</v>
      </c>
      <c r="B778" s="4">
        <f>DAY(E778)</f>
        <v>20</v>
      </c>
      <c r="C778" s="4">
        <f>MONTH(E778)</f>
        <v>12</v>
      </c>
      <c r="D778" s="4">
        <f>YEAR(E778)</f>
        <v>2023</v>
      </c>
      <c r="E778" s="3">
        <v>45280</v>
      </c>
      <c r="F778" s="4" t="s">
        <v>800</v>
      </c>
      <c r="G778" s="4" t="s">
        <v>15</v>
      </c>
      <c r="H778" s="4">
        <v>48</v>
      </c>
      <c r="I778" s="4" t="str" cm="1">
        <f t="array" ref="I778">_xlfn.IFS(
  H778&lt;30,"Young Adult",
  H778&lt;50,"Adult",
  H778&gt;=50,"Senior"
)</f>
        <v>Adult</v>
      </c>
      <c r="J778" s="4" t="s">
        <v>23</v>
      </c>
      <c r="K778" s="4">
        <v>3</v>
      </c>
      <c r="L778" s="5">
        <v>50</v>
      </c>
      <c r="M778" s="5">
        <f xml:space="preserve"> K778*L778</f>
        <v>150</v>
      </c>
      <c r="N778" s="14">
        <f xml:space="preserve"> M778 * $Q$3</f>
        <v>2.25</v>
      </c>
      <c r="O778" s="5"/>
    </row>
    <row r="779" spans="1:15">
      <c r="A779" s="2">
        <v>778</v>
      </c>
      <c r="B779" s="4">
        <f>DAY(E779)</f>
        <v>18</v>
      </c>
      <c r="C779" s="4">
        <f>MONTH(E779)</f>
        <v>11</v>
      </c>
      <c r="D779" s="4">
        <f>YEAR(E779)</f>
        <v>2023</v>
      </c>
      <c r="E779" s="3">
        <v>45248</v>
      </c>
      <c r="F779" s="4" t="s">
        <v>801</v>
      </c>
      <c r="G779" s="4" t="s">
        <v>19</v>
      </c>
      <c r="H779" s="4">
        <v>47</v>
      </c>
      <c r="I779" s="4" t="str" cm="1">
        <f t="array" ref="I779">_xlfn.IFS(
  H779&lt;30,"Young Adult",
  H779&lt;50,"Adult",
  H779&gt;=50,"Senior"
)</f>
        <v>Adult</v>
      </c>
      <c r="J779" s="4" t="s">
        <v>16</v>
      </c>
      <c r="K779" s="4">
        <v>4</v>
      </c>
      <c r="L779" s="5">
        <v>25</v>
      </c>
      <c r="M779" s="5">
        <f xml:space="preserve"> K779*L779</f>
        <v>100</v>
      </c>
      <c r="N779" s="14">
        <f xml:space="preserve"> M779 * $Q$3</f>
        <v>1.5</v>
      </c>
      <c r="O779" s="5"/>
    </row>
    <row r="780" spans="1:15">
      <c r="A780" s="2">
        <v>779</v>
      </c>
      <c r="B780" s="4">
        <f>DAY(E780)</f>
        <v>5</v>
      </c>
      <c r="C780" s="4">
        <f>MONTH(E780)</f>
        <v>5</v>
      </c>
      <c r="D780" s="4">
        <f>YEAR(E780)</f>
        <v>2023</v>
      </c>
      <c r="E780" s="17">
        <v>45051</v>
      </c>
      <c r="F780" s="4" t="s">
        <v>802</v>
      </c>
      <c r="G780" s="4" t="s">
        <v>19</v>
      </c>
      <c r="H780" s="4">
        <v>56</v>
      </c>
      <c r="I780" s="4" t="str" cm="1">
        <f t="array" ref="I780">_xlfn.IFS(
  H780&lt;30,"Young Adult",
  H780&lt;50,"Adult",
  H780&gt;=50,"Senior"
)</f>
        <v>Senior</v>
      </c>
      <c r="J780" s="4" t="s">
        <v>23</v>
      </c>
      <c r="K780" s="4">
        <v>2</v>
      </c>
      <c r="L780" s="5">
        <v>500</v>
      </c>
      <c r="M780" s="5">
        <f xml:space="preserve"> K780*L780</f>
        <v>1000</v>
      </c>
      <c r="N780" s="14">
        <f xml:space="preserve"> M780 * $Q$3</f>
        <v>15</v>
      </c>
      <c r="O780" s="5"/>
    </row>
    <row r="781" spans="1:15">
      <c r="A781" s="2">
        <v>780</v>
      </c>
      <c r="B781" s="4">
        <f>DAY(E781)</f>
        <v>22</v>
      </c>
      <c r="C781" s="4">
        <f>MONTH(E781)</f>
        <v>2</v>
      </c>
      <c r="D781" s="4">
        <f>YEAR(E781)</f>
        <v>2023</v>
      </c>
      <c r="E781" s="3">
        <v>44979</v>
      </c>
      <c r="F781" s="4" t="s">
        <v>803</v>
      </c>
      <c r="G781" s="4" t="s">
        <v>15</v>
      </c>
      <c r="H781" s="4">
        <v>52</v>
      </c>
      <c r="I781" s="4" t="str" cm="1">
        <f t="array" ref="I781">_xlfn.IFS(
  H781&lt;30,"Young Adult",
  H781&lt;50,"Adult",
  H781&gt;=50,"Senior"
)</f>
        <v>Senior</v>
      </c>
      <c r="J781" s="4" t="s">
        <v>23</v>
      </c>
      <c r="K781" s="4">
        <v>2</v>
      </c>
      <c r="L781" s="5">
        <v>25</v>
      </c>
      <c r="M781" s="5">
        <f xml:space="preserve"> K781*L781</f>
        <v>50</v>
      </c>
      <c r="N781" s="14">
        <f xml:space="preserve"> M781 * $Q$3</f>
        <v>0.75</v>
      </c>
      <c r="O781" s="5"/>
    </row>
    <row r="782" spans="1:15">
      <c r="A782" s="2">
        <v>781</v>
      </c>
      <c r="B782" s="4">
        <f>DAY(E782)</f>
        <v>23</v>
      </c>
      <c r="C782" s="4">
        <f>MONTH(E782)</f>
        <v>12</v>
      </c>
      <c r="D782" s="4">
        <f>YEAR(E782)</f>
        <v>2023</v>
      </c>
      <c r="E782" s="3">
        <v>45283</v>
      </c>
      <c r="F782" s="4" t="s">
        <v>804</v>
      </c>
      <c r="G782" s="4" t="s">
        <v>15</v>
      </c>
      <c r="H782" s="4">
        <v>35</v>
      </c>
      <c r="I782" s="4" t="str" cm="1">
        <f t="array" ref="I782">_xlfn.IFS(
  H782&lt;30,"Young Adult",
  H782&lt;50,"Adult",
  H782&gt;=50,"Senior"
)</f>
        <v>Adult</v>
      </c>
      <c r="J782" s="4" t="s">
        <v>16</v>
      </c>
      <c r="K782" s="4">
        <v>1</v>
      </c>
      <c r="L782" s="5">
        <v>500</v>
      </c>
      <c r="M782" s="5">
        <f xml:space="preserve"> K782*L782</f>
        <v>500</v>
      </c>
      <c r="N782" s="14">
        <f xml:space="preserve"> M782 * $Q$3</f>
        <v>7.5</v>
      </c>
      <c r="O782" s="5"/>
    </row>
    <row r="783" spans="1:15">
      <c r="A783" s="2">
        <v>782</v>
      </c>
      <c r="B783" s="4">
        <f>DAY(E783)</f>
        <v>4</v>
      </c>
      <c r="C783" s="4">
        <f>MONTH(E783)</f>
        <v>6</v>
      </c>
      <c r="D783" s="4">
        <f>YEAR(E783)</f>
        <v>2023</v>
      </c>
      <c r="E783" s="3">
        <v>45081</v>
      </c>
      <c r="F783" s="4" t="s">
        <v>805</v>
      </c>
      <c r="G783" s="4" t="s">
        <v>15</v>
      </c>
      <c r="H783" s="4">
        <v>59</v>
      </c>
      <c r="I783" s="4" t="str" cm="1">
        <f t="array" ref="I783">_xlfn.IFS(
  H783&lt;30,"Young Adult",
  H783&lt;50,"Adult",
  H783&gt;=50,"Senior"
)</f>
        <v>Senior</v>
      </c>
      <c r="J783" s="4" t="s">
        <v>20</v>
      </c>
      <c r="K783" s="4">
        <v>3</v>
      </c>
      <c r="L783" s="5">
        <v>300</v>
      </c>
      <c r="M783" s="5">
        <f xml:space="preserve"> K783*L783</f>
        <v>900</v>
      </c>
      <c r="N783" s="14">
        <f xml:space="preserve"> M783 * $Q$3</f>
        <v>13.5</v>
      </c>
      <c r="O783" s="5"/>
    </row>
    <row r="784" spans="1:15">
      <c r="A784" s="2">
        <v>783</v>
      </c>
      <c r="B784" s="4">
        <f>DAY(E784)</f>
        <v>17</v>
      </c>
      <c r="C784" s="4">
        <f>MONTH(E784)</f>
        <v>12</v>
      </c>
      <c r="D784" s="4">
        <f>YEAR(E784)</f>
        <v>2023</v>
      </c>
      <c r="E784" s="3">
        <v>45277</v>
      </c>
      <c r="F784" s="4" t="s">
        <v>806</v>
      </c>
      <c r="G784" s="4" t="s">
        <v>19</v>
      </c>
      <c r="H784" s="4">
        <v>56</v>
      </c>
      <c r="I784" s="4" t="str" cm="1">
        <f t="array" ref="I784">_xlfn.IFS(
  H784&lt;30,"Young Adult",
  H784&lt;50,"Adult",
  H784&gt;=50,"Senior"
)</f>
        <v>Senior</v>
      </c>
      <c r="J784" s="4" t="s">
        <v>20</v>
      </c>
      <c r="K784" s="4">
        <v>1</v>
      </c>
      <c r="L784" s="5">
        <v>300</v>
      </c>
      <c r="M784" s="5">
        <f xml:space="preserve"> K784*L784</f>
        <v>300</v>
      </c>
      <c r="N784" s="14">
        <f xml:space="preserve"> M784 * $Q$3</f>
        <v>4.5</v>
      </c>
      <c r="O784" s="5"/>
    </row>
    <row r="785" spans="1:15">
      <c r="A785" s="2">
        <v>784</v>
      </c>
      <c r="B785" s="4">
        <f>DAY(E785)</f>
        <v>4</v>
      </c>
      <c r="C785" s="4">
        <f>MONTH(E785)</f>
        <v>11</v>
      </c>
      <c r="D785" s="4">
        <f>YEAR(E785)</f>
        <v>2023</v>
      </c>
      <c r="E785" s="3">
        <v>45234</v>
      </c>
      <c r="F785" s="4" t="s">
        <v>807</v>
      </c>
      <c r="G785" s="4" t="s">
        <v>19</v>
      </c>
      <c r="H785" s="4">
        <v>34</v>
      </c>
      <c r="I785" s="4" t="str" cm="1">
        <f t="array" ref="I785">_xlfn.IFS(
  H785&lt;30,"Young Adult",
  H785&lt;50,"Adult",
  H785&gt;=50,"Senior"
)</f>
        <v>Adult</v>
      </c>
      <c r="J785" s="4" t="s">
        <v>23</v>
      </c>
      <c r="K785" s="4">
        <v>1</v>
      </c>
      <c r="L785" s="5">
        <v>500</v>
      </c>
      <c r="M785" s="5">
        <f xml:space="preserve"> K785*L785</f>
        <v>500</v>
      </c>
      <c r="N785" s="14">
        <f xml:space="preserve"> M785 * $Q$3</f>
        <v>7.5</v>
      </c>
      <c r="O785" s="5"/>
    </row>
    <row r="786" spans="1:15">
      <c r="A786" s="2">
        <v>785</v>
      </c>
      <c r="B786" s="4">
        <f>DAY(E786)</f>
        <v>3</v>
      </c>
      <c r="C786" s="4">
        <f>MONTH(E786)</f>
        <v>3</v>
      </c>
      <c r="D786" s="4">
        <f>YEAR(E786)</f>
        <v>2023</v>
      </c>
      <c r="E786" s="17">
        <v>44988</v>
      </c>
      <c r="F786" s="4" t="s">
        <v>808</v>
      </c>
      <c r="G786" s="4" t="s">
        <v>19</v>
      </c>
      <c r="H786" s="4">
        <v>31</v>
      </c>
      <c r="I786" s="4" t="str" cm="1">
        <f t="array" ref="I786">_xlfn.IFS(
  H786&lt;30,"Young Adult",
  H786&lt;50,"Adult",
  H786&gt;=50,"Senior"
)</f>
        <v>Adult</v>
      </c>
      <c r="J786" s="4" t="s">
        <v>16</v>
      </c>
      <c r="K786" s="4">
        <v>4</v>
      </c>
      <c r="L786" s="5">
        <v>50</v>
      </c>
      <c r="M786" s="5">
        <f xml:space="preserve"> K786*L786</f>
        <v>200</v>
      </c>
      <c r="N786" s="14">
        <f xml:space="preserve"> M786 * $Q$3</f>
        <v>3</v>
      </c>
      <c r="O786" s="5"/>
    </row>
    <row r="787" spans="1:15">
      <c r="A787" s="2">
        <v>786</v>
      </c>
      <c r="B787" s="4">
        <f>DAY(E787)</f>
        <v>17</v>
      </c>
      <c r="C787" s="4">
        <f>MONTH(E787)</f>
        <v>10</v>
      </c>
      <c r="D787" s="4">
        <f>YEAR(E787)</f>
        <v>2023</v>
      </c>
      <c r="E787" s="3">
        <v>45216</v>
      </c>
      <c r="F787" s="4" t="s">
        <v>809</v>
      </c>
      <c r="G787" s="4" t="s">
        <v>15</v>
      </c>
      <c r="H787" s="4">
        <v>48</v>
      </c>
      <c r="I787" s="4" t="str" cm="1">
        <f t="array" ref="I787">_xlfn.IFS(
  H787&lt;30,"Young Adult",
  H787&lt;50,"Adult",
  H787&gt;=50,"Senior"
)</f>
        <v>Adult</v>
      </c>
      <c r="J787" s="4" t="s">
        <v>20</v>
      </c>
      <c r="K787" s="4">
        <v>4</v>
      </c>
      <c r="L787" s="5">
        <v>25</v>
      </c>
      <c r="M787" s="5">
        <f xml:space="preserve"> K787*L787</f>
        <v>100</v>
      </c>
      <c r="N787" s="14">
        <f xml:space="preserve"> M787 * $Q$3</f>
        <v>1.5</v>
      </c>
      <c r="O787" s="5"/>
    </row>
    <row r="788" spans="1:15">
      <c r="A788" s="2">
        <v>787</v>
      </c>
      <c r="B788" s="4">
        <f>DAY(E788)</f>
        <v>22</v>
      </c>
      <c r="C788" s="4">
        <f>MONTH(E788)</f>
        <v>1</v>
      </c>
      <c r="D788" s="4">
        <f>YEAR(E788)</f>
        <v>2023</v>
      </c>
      <c r="E788" s="3">
        <v>44948</v>
      </c>
      <c r="F788" s="4" t="s">
        <v>810</v>
      </c>
      <c r="G788" s="4" t="s">
        <v>15</v>
      </c>
      <c r="H788" s="4">
        <v>41</v>
      </c>
      <c r="I788" s="4" t="str" cm="1">
        <f t="array" ref="I788">_xlfn.IFS(
  H788&lt;30,"Young Adult",
  H788&lt;50,"Adult",
  H788&gt;=50,"Senior"
)</f>
        <v>Adult</v>
      </c>
      <c r="J788" s="4" t="s">
        <v>23</v>
      </c>
      <c r="K788" s="4">
        <v>1</v>
      </c>
      <c r="L788" s="5">
        <v>25</v>
      </c>
      <c r="M788" s="5">
        <f xml:space="preserve"> K788*L788</f>
        <v>25</v>
      </c>
      <c r="N788" s="14">
        <f xml:space="preserve"> M788 * $Q$3</f>
        <v>0.375</v>
      </c>
      <c r="O788" s="5"/>
    </row>
    <row r="789" spans="1:15">
      <c r="A789" s="2">
        <v>788</v>
      </c>
      <c r="B789" s="4">
        <f>DAY(E789)</f>
        <v>27</v>
      </c>
      <c r="C789" s="4">
        <f>MONTH(E789)</f>
        <v>6</v>
      </c>
      <c r="D789" s="4">
        <f>YEAR(E789)</f>
        <v>2023</v>
      </c>
      <c r="E789" s="3">
        <v>45104</v>
      </c>
      <c r="F789" s="4" t="s">
        <v>811</v>
      </c>
      <c r="G789" s="4" t="s">
        <v>19</v>
      </c>
      <c r="H789" s="4">
        <v>52</v>
      </c>
      <c r="I789" s="4" t="str" cm="1">
        <f t="array" ref="I789">_xlfn.IFS(
  H789&lt;30,"Young Adult",
  H789&lt;50,"Adult",
  H789&gt;=50,"Senior"
)</f>
        <v>Senior</v>
      </c>
      <c r="J789" s="4" t="s">
        <v>16</v>
      </c>
      <c r="K789" s="4">
        <v>3</v>
      </c>
      <c r="L789" s="5">
        <v>300</v>
      </c>
      <c r="M789" s="5">
        <f xml:space="preserve"> K789*L789</f>
        <v>900</v>
      </c>
      <c r="N789" s="14">
        <f xml:space="preserve"> M789 * $Q$3</f>
        <v>13.5</v>
      </c>
      <c r="O789" s="5"/>
    </row>
    <row r="790" spans="1:15">
      <c r="A790" s="2">
        <v>789</v>
      </c>
      <c r="B790" s="4">
        <f>DAY(E790)</f>
        <v>30</v>
      </c>
      <c r="C790" s="4">
        <f>MONTH(E790)</f>
        <v>9</v>
      </c>
      <c r="D790" s="4">
        <f>YEAR(E790)</f>
        <v>2023</v>
      </c>
      <c r="E790" s="3">
        <v>45199</v>
      </c>
      <c r="F790" s="4" t="s">
        <v>812</v>
      </c>
      <c r="G790" s="4" t="s">
        <v>19</v>
      </c>
      <c r="H790" s="4">
        <v>61</v>
      </c>
      <c r="I790" s="4" t="str" cm="1">
        <f t="array" ref="I790">_xlfn.IFS(
  H790&lt;30,"Young Adult",
  H790&lt;50,"Adult",
  H790&gt;=50,"Senior"
)</f>
        <v>Senior</v>
      </c>
      <c r="J790" s="4" t="s">
        <v>20</v>
      </c>
      <c r="K790" s="4">
        <v>4</v>
      </c>
      <c r="L790" s="5">
        <v>500</v>
      </c>
      <c r="M790" s="5">
        <f xml:space="preserve"> K790*L790</f>
        <v>2000</v>
      </c>
      <c r="N790" s="14">
        <f xml:space="preserve"> M790 * $Q$3</f>
        <v>30</v>
      </c>
      <c r="O790" s="5"/>
    </row>
    <row r="791" spans="1:15">
      <c r="A791" s="2">
        <v>790</v>
      </c>
      <c r="B791" s="4">
        <f>DAY(E791)</f>
        <v>8</v>
      </c>
      <c r="C791" s="4">
        <f>MONTH(E791)</f>
        <v>8</v>
      </c>
      <c r="D791" s="4">
        <f>YEAR(E791)</f>
        <v>2023</v>
      </c>
      <c r="E791" s="3">
        <v>45146</v>
      </c>
      <c r="F791" s="4" t="s">
        <v>813</v>
      </c>
      <c r="G791" s="4" t="s">
        <v>15</v>
      </c>
      <c r="H791" s="4">
        <v>62</v>
      </c>
      <c r="I791" s="4" t="str" cm="1">
        <f t="array" ref="I791">_xlfn.IFS(
  H791&lt;30,"Young Adult",
  H791&lt;50,"Adult",
  H791&gt;=50,"Senior"
)</f>
        <v>Senior</v>
      </c>
      <c r="J791" s="4" t="s">
        <v>20</v>
      </c>
      <c r="K791" s="4">
        <v>1</v>
      </c>
      <c r="L791" s="5">
        <v>25</v>
      </c>
      <c r="M791" s="5">
        <f xml:space="preserve"> K791*L791</f>
        <v>25</v>
      </c>
      <c r="N791" s="14">
        <f xml:space="preserve"> M791 * $Q$3</f>
        <v>0.375</v>
      </c>
      <c r="O791" s="5"/>
    </row>
    <row r="792" spans="1:15">
      <c r="A792" s="2">
        <v>791</v>
      </c>
      <c r="B792" s="4">
        <f>DAY(E792)</f>
        <v>5</v>
      </c>
      <c r="C792" s="4">
        <f>MONTH(E792)</f>
        <v>12</v>
      </c>
      <c r="D792" s="4">
        <f>YEAR(E792)</f>
        <v>2023</v>
      </c>
      <c r="E792" s="3">
        <v>45265</v>
      </c>
      <c r="F792" s="4" t="s">
        <v>814</v>
      </c>
      <c r="G792" s="4" t="s">
        <v>19</v>
      </c>
      <c r="H792" s="4">
        <v>51</v>
      </c>
      <c r="I792" s="4" t="str" cm="1">
        <f t="array" ref="I792">_xlfn.IFS(
  H792&lt;30,"Young Adult",
  H792&lt;50,"Adult",
  H792&gt;=50,"Senior"
)</f>
        <v>Senior</v>
      </c>
      <c r="J792" s="4" t="s">
        <v>16</v>
      </c>
      <c r="K792" s="4">
        <v>1</v>
      </c>
      <c r="L792" s="5">
        <v>25</v>
      </c>
      <c r="M792" s="5">
        <f xml:space="preserve"> K792*L792</f>
        <v>25</v>
      </c>
      <c r="N792" s="14">
        <f xml:space="preserve"> M792 * $Q$3</f>
        <v>0.375</v>
      </c>
      <c r="O792" s="5"/>
    </row>
    <row r="793" spans="1:15">
      <c r="A793" s="2">
        <v>792</v>
      </c>
      <c r="B793" s="4">
        <f>DAY(E793)</f>
        <v>9</v>
      </c>
      <c r="C793" s="4">
        <f>MONTH(E793)</f>
        <v>7</v>
      </c>
      <c r="D793" s="4">
        <f>YEAR(E793)</f>
        <v>2023</v>
      </c>
      <c r="E793" s="3">
        <v>45116</v>
      </c>
      <c r="F793" s="4" t="s">
        <v>815</v>
      </c>
      <c r="G793" s="4" t="s">
        <v>19</v>
      </c>
      <c r="H793" s="4">
        <v>20</v>
      </c>
      <c r="I793" s="4" t="str" cm="1">
        <f t="array" ref="I793">_xlfn.IFS(
  H793&lt;30,"Young Adult",
  H793&lt;50,"Adult",
  H793&gt;=50,"Senior"
)</f>
        <v>Young Adult</v>
      </c>
      <c r="J793" s="4" t="s">
        <v>16</v>
      </c>
      <c r="K793" s="4">
        <v>1</v>
      </c>
      <c r="L793" s="5">
        <v>50</v>
      </c>
      <c r="M793" s="5">
        <f xml:space="preserve"> K793*L793</f>
        <v>50</v>
      </c>
      <c r="N793" s="14">
        <f xml:space="preserve"> M793 * $Q$3</f>
        <v>0.75</v>
      </c>
      <c r="O793" s="5"/>
    </row>
    <row r="794" spans="1:15">
      <c r="A794" s="2">
        <v>793</v>
      </c>
      <c r="B794" s="4">
        <f>DAY(E794)</f>
        <v>5</v>
      </c>
      <c r="C794" s="4">
        <f>MONTH(E794)</f>
        <v>2</v>
      </c>
      <c r="D794" s="4">
        <f>YEAR(E794)</f>
        <v>2023</v>
      </c>
      <c r="E794" s="3">
        <v>44962</v>
      </c>
      <c r="F794" s="4" t="s">
        <v>816</v>
      </c>
      <c r="G794" s="4" t="s">
        <v>15</v>
      </c>
      <c r="H794" s="4">
        <v>54</v>
      </c>
      <c r="I794" s="4" t="str" cm="1">
        <f t="array" ref="I794">_xlfn.IFS(
  H794&lt;30,"Young Adult",
  H794&lt;50,"Adult",
  H794&gt;=50,"Senior"
)</f>
        <v>Senior</v>
      </c>
      <c r="J794" s="4" t="s">
        <v>16</v>
      </c>
      <c r="K794" s="4">
        <v>1</v>
      </c>
      <c r="L794" s="5">
        <v>30</v>
      </c>
      <c r="M794" s="5">
        <f xml:space="preserve"> K794*L794</f>
        <v>30</v>
      </c>
      <c r="N794" s="14">
        <f xml:space="preserve"> M794 * $Q$3</f>
        <v>0.44999999999999996</v>
      </c>
      <c r="O794" s="5"/>
    </row>
    <row r="795" spans="1:15">
      <c r="A795" s="2">
        <v>794</v>
      </c>
      <c r="B795" s="4">
        <f>DAY(E795)</f>
        <v>17</v>
      </c>
      <c r="C795" s="4">
        <f>MONTH(E795)</f>
        <v>9</v>
      </c>
      <c r="D795" s="4">
        <f>YEAR(E795)</f>
        <v>2023</v>
      </c>
      <c r="E795" s="17">
        <v>45186</v>
      </c>
      <c r="F795" s="4" t="s">
        <v>817</v>
      </c>
      <c r="G795" s="4" t="s">
        <v>19</v>
      </c>
      <c r="H795" s="4">
        <v>60</v>
      </c>
      <c r="I795" s="4" t="str" cm="1">
        <f t="array" ref="I795">_xlfn.IFS(
  H795&lt;30,"Young Adult",
  H795&lt;50,"Adult",
  H795&gt;=50,"Senior"
)</f>
        <v>Senior</v>
      </c>
      <c r="J795" s="4" t="s">
        <v>16</v>
      </c>
      <c r="K795" s="4">
        <v>1</v>
      </c>
      <c r="L795" s="5">
        <v>300</v>
      </c>
      <c r="M795" s="5">
        <f xml:space="preserve"> K795*L795</f>
        <v>300</v>
      </c>
      <c r="N795" s="14">
        <f xml:space="preserve"> M795 * $Q$3</f>
        <v>4.5</v>
      </c>
      <c r="O795" s="5"/>
    </row>
    <row r="796" spans="1:15">
      <c r="A796" s="2">
        <v>795</v>
      </c>
      <c r="B796" s="4">
        <f>DAY(E796)</f>
        <v>28</v>
      </c>
      <c r="C796" s="4">
        <f>MONTH(E796)</f>
        <v>11</v>
      </c>
      <c r="D796" s="4">
        <f>YEAR(E796)</f>
        <v>2023</v>
      </c>
      <c r="E796" s="3">
        <v>45258</v>
      </c>
      <c r="F796" s="4" t="s">
        <v>818</v>
      </c>
      <c r="G796" s="4" t="s">
        <v>15</v>
      </c>
      <c r="H796" s="4">
        <v>57</v>
      </c>
      <c r="I796" s="4" t="str" cm="1">
        <f t="array" ref="I796">_xlfn.IFS(
  H796&lt;30,"Young Adult",
  H796&lt;50,"Adult",
  H796&gt;=50,"Senior"
)</f>
        <v>Senior</v>
      </c>
      <c r="J796" s="4" t="s">
        <v>23</v>
      </c>
      <c r="K796" s="4">
        <v>1</v>
      </c>
      <c r="L796" s="5">
        <v>300</v>
      </c>
      <c r="M796" s="5">
        <f xml:space="preserve"> K796*L796</f>
        <v>300</v>
      </c>
      <c r="N796" s="14">
        <f xml:space="preserve"> M796 * $Q$3</f>
        <v>4.5</v>
      </c>
      <c r="O796" s="5"/>
    </row>
    <row r="797" spans="1:15">
      <c r="A797" s="2">
        <v>796</v>
      </c>
      <c r="B797" s="4">
        <f>DAY(E797)</f>
        <v>24</v>
      </c>
      <c r="C797" s="4">
        <f>MONTH(E797)</f>
        <v>6</v>
      </c>
      <c r="D797" s="4">
        <f>YEAR(E797)</f>
        <v>2023</v>
      </c>
      <c r="E797" s="3">
        <v>45101</v>
      </c>
      <c r="F797" s="4" t="s">
        <v>819</v>
      </c>
      <c r="G797" s="4" t="s">
        <v>15</v>
      </c>
      <c r="H797" s="4">
        <v>43</v>
      </c>
      <c r="I797" s="4" t="str" cm="1">
        <f t="array" ref="I797">_xlfn.IFS(
  H797&lt;30,"Young Adult",
  H797&lt;50,"Adult",
  H797&gt;=50,"Senior"
)</f>
        <v>Adult</v>
      </c>
      <c r="J797" s="4" t="s">
        <v>16</v>
      </c>
      <c r="K797" s="4">
        <v>4</v>
      </c>
      <c r="L797" s="5">
        <v>30</v>
      </c>
      <c r="M797" s="5">
        <f xml:space="preserve"> K797*L797</f>
        <v>120</v>
      </c>
      <c r="N797" s="14">
        <f xml:space="preserve"> M797 * $Q$3</f>
        <v>1.7999999999999998</v>
      </c>
      <c r="O797" s="5"/>
    </row>
    <row r="798" spans="1:15">
      <c r="A798" s="2">
        <v>797</v>
      </c>
      <c r="B798" s="4">
        <f>DAY(E798)</f>
        <v>7</v>
      </c>
      <c r="C798" s="4">
        <f>MONTH(E798)</f>
        <v>1</v>
      </c>
      <c r="D798" s="4">
        <f>YEAR(E798)</f>
        <v>2023</v>
      </c>
      <c r="E798" s="3">
        <v>44933</v>
      </c>
      <c r="F798" s="4" t="s">
        <v>820</v>
      </c>
      <c r="G798" s="4" t="s">
        <v>15</v>
      </c>
      <c r="H798" s="4">
        <v>40</v>
      </c>
      <c r="I798" s="4" t="str" cm="1">
        <f t="array" ref="I798">_xlfn.IFS(
  H798&lt;30,"Young Adult",
  H798&lt;50,"Adult",
  H798&gt;=50,"Senior"
)</f>
        <v>Adult</v>
      </c>
      <c r="J798" s="4" t="s">
        <v>20</v>
      </c>
      <c r="K798" s="4">
        <v>3</v>
      </c>
      <c r="L798" s="5">
        <v>25</v>
      </c>
      <c r="M798" s="5">
        <f xml:space="preserve"> K798*L798</f>
        <v>75</v>
      </c>
      <c r="N798" s="14">
        <f xml:space="preserve"> M798 * $Q$3</f>
        <v>1.125</v>
      </c>
      <c r="O798" s="5"/>
    </row>
    <row r="799" spans="1:15">
      <c r="A799" s="2">
        <v>798</v>
      </c>
      <c r="B799" s="4">
        <f>DAY(E799)</f>
        <v>4</v>
      </c>
      <c r="C799" s="4">
        <f>MONTH(E799)</f>
        <v>8</v>
      </c>
      <c r="D799" s="4">
        <f>YEAR(E799)</f>
        <v>2023</v>
      </c>
      <c r="E799" s="3">
        <v>45142</v>
      </c>
      <c r="F799" s="4" t="s">
        <v>821</v>
      </c>
      <c r="G799" s="4" t="s">
        <v>15</v>
      </c>
      <c r="H799" s="4">
        <v>61</v>
      </c>
      <c r="I799" s="4" t="str" cm="1">
        <f t="array" ref="I799">_xlfn.IFS(
  H799&lt;30,"Young Adult",
  H799&lt;50,"Adult",
  H799&gt;=50,"Senior"
)</f>
        <v>Senior</v>
      </c>
      <c r="J799" s="4" t="s">
        <v>20</v>
      </c>
      <c r="K799" s="4">
        <v>1</v>
      </c>
      <c r="L799" s="5">
        <v>50</v>
      </c>
      <c r="M799" s="5">
        <f xml:space="preserve"> K799*L799</f>
        <v>50</v>
      </c>
      <c r="N799" s="14">
        <f xml:space="preserve"> M799 * $Q$3</f>
        <v>0.75</v>
      </c>
      <c r="O799" s="5"/>
    </row>
    <row r="800" spans="1:15">
      <c r="A800" s="2">
        <v>799</v>
      </c>
      <c r="B800" s="4">
        <f>DAY(E800)</f>
        <v>8</v>
      </c>
      <c r="C800" s="4">
        <f>MONTH(E800)</f>
        <v>9</v>
      </c>
      <c r="D800" s="4">
        <f>YEAR(E800)</f>
        <v>2023</v>
      </c>
      <c r="E800" s="3">
        <v>45177</v>
      </c>
      <c r="F800" s="4" t="s">
        <v>822</v>
      </c>
      <c r="G800" s="4" t="s">
        <v>15</v>
      </c>
      <c r="H800" s="4">
        <v>56</v>
      </c>
      <c r="I800" s="4" t="str" cm="1">
        <f t="array" ref="I800">_xlfn.IFS(
  H800&lt;30,"Young Adult",
  H800&lt;50,"Adult",
  H800&gt;=50,"Senior"
)</f>
        <v>Senior</v>
      </c>
      <c r="J800" s="4" t="s">
        <v>23</v>
      </c>
      <c r="K800" s="4">
        <v>2</v>
      </c>
      <c r="L800" s="5">
        <v>50</v>
      </c>
      <c r="M800" s="5">
        <f xml:space="preserve"> K800*L800</f>
        <v>100</v>
      </c>
      <c r="N800" s="14">
        <f xml:space="preserve"> M800 * $Q$3</f>
        <v>1.5</v>
      </c>
      <c r="O800" s="5"/>
    </row>
    <row r="801" spans="1:15">
      <c r="A801" s="2">
        <v>800</v>
      </c>
      <c r="B801" s="4">
        <f>DAY(E801)</f>
        <v>24</v>
      </c>
      <c r="C801" s="4">
        <f>MONTH(E801)</f>
        <v>2</v>
      </c>
      <c r="D801" s="4">
        <f>YEAR(E801)</f>
        <v>2023</v>
      </c>
      <c r="E801" s="3">
        <v>44981</v>
      </c>
      <c r="F801" s="4" t="s">
        <v>823</v>
      </c>
      <c r="G801" s="4" t="s">
        <v>15</v>
      </c>
      <c r="H801" s="4">
        <v>32</v>
      </c>
      <c r="I801" s="4" t="str" cm="1">
        <f t="array" ref="I801">_xlfn.IFS(
  H801&lt;30,"Young Adult",
  H801&lt;50,"Adult",
  H801&gt;=50,"Senior"
)</f>
        <v>Adult</v>
      </c>
      <c r="J801" s="4" t="s">
        <v>20</v>
      </c>
      <c r="K801" s="4">
        <v>4</v>
      </c>
      <c r="L801" s="5">
        <v>300</v>
      </c>
      <c r="M801" s="5">
        <f xml:space="preserve"> K801*L801</f>
        <v>1200</v>
      </c>
      <c r="N801" s="14">
        <f xml:space="preserve"> M801 * $Q$3</f>
        <v>18</v>
      </c>
      <c r="O801" s="5"/>
    </row>
    <row r="802" spans="1:15">
      <c r="A802" s="2">
        <v>801</v>
      </c>
      <c r="B802" s="4">
        <f>DAY(E802)</f>
        <v>10</v>
      </c>
      <c r="C802" s="4">
        <f>MONTH(E802)</f>
        <v>8</v>
      </c>
      <c r="D802" s="4">
        <f>YEAR(E802)</f>
        <v>2023</v>
      </c>
      <c r="E802" s="3">
        <v>45148</v>
      </c>
      <c r="F802" s="4" t="s">
        <v>824</v>
      </c>
      <c r="G802" s="4" t="s">
        <v>15</v>
      </c>
      <c r="H802" s="4">
        <v>21</v>
      </c>
      <c r="I802" s="4" t="str" cm="1">
        <f t="array" ref="I802">_xlfn.IFS(
  H802&lt;30,"Young Adult",
  H802&lt;50,"Adult",
  H802&gt;=50,"Senior"
)</f>
        <v>Young Adult</v>
      </c>
      <c r="J802" s="4" t="s">
        <v>20</v>
      </c>
      <c r="K802" s="4">
        <v>4</v>
      </c>
      <c r="L802" s="5">
        <v>50</v>
      </c>
      <c r="M802" s="5">
        <f xml:space="preserve"> K802*L802</f>
        <v>200</v>
      </c>
      <c r="N802" s="14">
        <f xml:space="preserve"> M802 * $Q$3</f>
        <v>3</v>
      </c>
      <c r="O802" s="5"/>
    </row>
    <row r="803" spans="1:15">
      <c r="A803" s="2">
        <v>802</v>
      </c>
      <c r="B803" s="4">
        <f>DAY(E803)</f>
        <v>5</v>
      </c>
      <c r="C803" s="4">
        <f>MONTH(E803)</f>
        <v>7</v>
      </c>
      <c r="D803" s="4">
        <f>YEAR(E803)</f>
        <v>2023</v>
      </c>
      <c r="E803" s="3">
        <v>45112</v>
      </c>
      <c r="F803" s="4" t="s">
        <v>825</v>
      </c>
      <c r="G803" s="4" t="s">
        <v>19</v>
      </c>
      <c r="H803" s="4">
        <v>46</v>
      </c>
      <c r="I803" s="4" t="str" cm="1">
        <f t="array" ref="I803">_xlfn.IFS(
  H803&lt;30,"Young Adult",
  H803&lt;50,"Adult",
  H803&gt;=50,"Senior"
)</f>
        <v>Adult</v>
      </c>
      <c r="J803" s="4" t="s">
        <v>16</v>
      </c>
      <c r="K803" s="4">
        <v>1</v>
      </c>
      <c r="L803" s="5">
        <v>30</v>
      </c>
      <c r="M803" s="5">
        <f xml:space="preserve"> K803*L803</f>
        <v>30</v>
      </c>
      <c r="N803" s="14">
        <f xml:space="preserve"> M803 * $Q$3</f>
        <v>0.44999999999999996</v>
      </c>
      <c r="O803" s="5"/>
    </row>
    <row r="804" spans="1:15">
      <c r="A804" s="2">
        <v>803</v>
      </c>
      <c r="B804" s="4">
        <f>DAY(E804)</f>
        <v>22</v>
      </c>
      <c r="C804" s="4">
        <f>MONTH(E804)</f>
        <v>11</v>
      </c>
      <c r="D804" s="4">
        <f>YEAR(E804)</f>
        <v>2023</v>
      </c>
      <c r="E804" s="3">
        <v>45252</v>
      </c>
      <c r="F804" s="4" t="s">
        <v>826</v>
      </c>
      <c r="G804" s="4" t="s">
        <v>15</v>
      </c>
      <c r="H804" s="4">
        <v>39</v>
      </c>
      <c r="I804" s="4" t="str" cm="1">
        <f t="array" ref="I804">_xlfn.IFS(
  H804&lt;30,"Young Adult",
  H804&lt;50,"Adult",
  H804&gt;=50,"Senior"
)</f>
        <v>Adult</v>
      </c>
      <c r="J804" s="4" t="s">
        <v>20</v>
      </c>
      <c r="K804" s="4">
        <v>4</v>
      </c>
      <c r="L804" s="5">
        <v>25</v>
      </c>
      <c r="M804" s="5">
        <f xml:space="preserve"> K804*L804</f>
        <v>100</v>
      </c>
      <c r="N804" s="14">
        <f xml:space="preserve"> M804 * $Q$3</f>
        <v>1.5</v>
      </c>
      <c r="O804" s="5"/>
    </row>
    <row r="805" spans="1:15">
      <c r="A805" s="2">
        <v>804</v>
      </c>
      <c r="B805" s="4">
        <f>DAY(E805)</f>
        <v>24</v>
      </c>
      <c r="C805" s="4">
        <f>MONTH(E805)</f>
        <v>8</v>
      </c>
      <c r="D805" s="4">
        <f>YEAR(E805)</f>
        <v>2023</v>
      </c>
      <c r="E805" s="3">
        <v>45162</v>
      </c>
      <c r="F805" s="4" t="s">
        <v>827</v>
      </c>
      <c r="G805" s="4" t="s">
        <v>15</v>
      </c>
      <c r="H805" s="4">
        <v>42</v>
      </c>
      <c r="I805" s="4" t="str" cm="1">
        <f t="array" ref="I805">_xlfn.IFS(
  H805&lt;30,"Young Adult",
  H805&lt;50,"Adult",
  H805&gt;=50,"Senior"
)</f>
        <v>Adult</v>
      </c>
      <c r="J805" s="4" t="s">
        <v>23</v>
      </c>
      <c r="K805" s="4">
        <v>1</v>
      </c>
      <c r="L805" s="5">
        <v>30</v>
      </c>
      <c r="M805" s="5">
        <f xml:space="preserve"> K805*L805</f>
        <v>30</v>
      </c>
      <c r="N805" s="14">
        <f xml:space="preserve"> M805 * $Q$3</f>
        <v>0.44999999999999996</v>
      </c>
      <c r="O805" s="5"/>
    </row>
    <row r="806" spans="1:15">
      <c r="A806" s="2">
        <v>805</v>
      </c>
      <c r="B806" s="4">
        <f>DAY(E806)</f>
        <v>29</v>
      </c>
      <c r="C806" s="4">
        <f>MONTH(E806)</f>
        <v>12</v>
      </c>
      <c r="D806" s="4">
        <f>YEAR(E806)</f>
        <v>2023</v>
      </c>
      <c r="E806" s="3">
        <v>45289</v>
      </c>
      <c r="F806" s="4" t="s">
        <v>828</v>
      </c>
      <c r="G806" s="4" t="s">
        <v>19</v>
      </c>
      <c r="H806" s="4">
        <v>30</v>
      </c>
      <c r="I806" s="4" t="str" cm="1">
        <f t="array" ref="I806">_xlfn.IFS(
  H806&lt;30,"Young Adult",
  H806&lt;50,"Adult",
  H806&gt;=50,"Senior"
)</f>
        <v>Adult</v>
      </c>
      <c r="J806" s="4" t="s">
        <v>16</v>
      </c>
      <c r="K806" s="4">
        <v>3</v>
      </c>
      <c r="L806" s="5">
        <v>500</v>
      </c>
      <c r="M806" s="5">
        <f xml:space="preserve"> K806*L806</f>
        <v>1500</v>
      </c>
      <c r="N806" s="14">
        <f xml:space="preserve"> M806 * $Q$3</f>
        <v>22.5</v>
      </c>
      <c r="O806" s="5"/>
    </row>
    <row r="807" spans="1:15">
      <c r="A807" s="2">
        <v>806</v>
      </c>
      <c r="B807" s="4">
        <f>DAY(E807)</f>
        <v>20</v>
      </c>
      <c r="C807" s="4">
        <f>MONTH(E807)</f>
        <v>3</v>
      </c>
      <c r="D807" s="4">
        <f>YEAR(E807)</f>
        <v>2023</v>
      </c>
      <c r="E807" s="17">
        <v>45005</v>
      </c>
      <c r="F807" s="4" t="s">
        <v>829</v>
      </c>
      <c r="G807" s="4" t="s">
        <v>19</v>
      </c>
      <c r="H807" s="4">
        <v>35</v>
      </c>
      <c r="I807" s="4" t="str" cm="1">
        <f t="array" ref="I807">_xlfn.IFS(
  H807&lt;30,"Young Adult",
  H807&lt;50,"Adult",
  H807&gt;=50,"Senior"
)</f>
        <v>Adult</v>
      </c>
      <c r="J807" s="4" t="s">
        <v>16</v>
      </c>
      <c r="K807" s="4">
        <v>3</v>
      </c>
      <c r="L807" s="5">
        <v>300</v>
      </c>
      <c r="M807" s="5">
        <f xml:space="preserve"> K807*L807</f>
        <v>900</v>
      </c>
      <c r="N807" s="14">
        <f xml:space="preserve"> M807 * $Q$3</f>
        <v>13.5</v>
      </c>
      <c r="O807" s="5"/>
    </row>
    <row r="808" spans="1:15">
      <c r="A808" s="2">
        <v>807</v>
      </c>
      <c r="B808" s="4">
        <f>DAY(E808)</f>
        <v>11</v>
      </c>
      <c r="C808" s="4">
        <f>MONTH(E808)</f>
        <v>8</v>
      </c>
      <c r="D808" s="4">
        <f>YEAR(E808)</f>
        <v>2023</v>
      </c>
      <c r="E808" s="3">
        <v>45149</v>
      </c>
      <c r="F808" s="4" t="s">
        <v>830</v>
      </c>
      <c r="G808" s="4" t="s">
        <v>19</v>
      </c>
      <c r="H808" s="4">
        <v>50</v>
      </c>
      <c r="I808" s="4" t="str" cm="1">
        <f t="array" ref="I808">_xlfn.IFS(
  H808&lt;30,"Young Adult",
  H808&lt;50,"Adult",
  H808&gt;=50,"Senior"
)</f>
        <v>Senior</v>
      </c>
      <c r="J808" s="4" t="s">
        <v>23</v>
      </c>
      <c r="K808" s="4">
        <v>4</v>
      </c>
      <c r="L808" s="5">
        <v>50</v>
      </c>
      <c r="M808" s="5">
        <f xml:space="preserve"> K808*L808</f>
        <v>200</v>
      </c>
      <c r="N808" s="14">
        <f xml:space="preserve"> M808 * $Q$3</f>
        <v>3</v>
      </c>
      <c r="O808" s="5"/>
    </row>
    <row r="809" spans="1:15">
      <c r="A809" s="2">
        <v>808</v>
      </c>
      <c r="B809" s="4">
        <f>DAY(E809)</f>
        <v>1</v>
      </c>
      <c r="C809" s="4">
        <f>MONTH(E809)</f>
        <v>4</v>
      </c>
      <c r="D809" s="4">
        <f>YEAR(E809)</f>
        <v>2023</v>
      </c>
      <c r="E809" s="17">
        <v>45017</v>
      </c>
      <c r="F809" s="4" t="s">
        <v>831</v>
      </c>
      <c r="G809" s="4" t="s">
        <v>15</v>
      </c>
      <c r="H809" s="4">
        <v>33</v>
      </c>
      <c r="I809" s="4" t="str" cm="1">
        <f t="array" ref="I809">_xlfn.IFS(
  H809&lt;30,"Young Adult",
  H809&lt;50,"Adult",
  H809&gt;=50,"Senior"
)</f>
        <v>Adult</v>
      </c>
      <c r="J809" s="4" t="s">
        <v>16</v>
      </c>
      <c r="K809" s="4">
        <v>4</v>
      </c>
      <c r="L809" s="5">
        <v>500</v>
      </c>
      <c r="M809" s="5">
        <f xml:space="preserve"> K809*L809</f>
        <v>2000</v>
      </c>
      <c r="N809" s="14">
        <f xml:space="preserve"> M809 * $Q$3</f>
        <v>30</v>
      </c>
      <c r="O809" s="5"/>
    </row>
    <row r="810" spans="1:15">
      <c r="A810" s="2">
        <v>809</v>
      </c>
      <c r="B810" s="4">
        <f>DAY(E810)</f>
        <v>25</v>
      </c>
      <c r="C810" s="4">
        <f>MONTH(E810)</f>
        <v>9</v>
      </c>
      <c r="D810" s="4">
        <f>YEAR(E810)</f>
        <v>2023</v>
      </c>
      <c r="E810" s="17">
        <v>45194</v>
      </c>
      <c r="F810" s="4" t="s">
        <v>832</v>
      </c>
      <c r="G810" s="4" t="s">
        <v>19</v>
      </c>
      <c r="H810" s="4">
        <v>62</v>
      </c>
      <c r="I810" s="4" t="str" cm="1">
        <f t="array" ref="I810">_xlfn.IFS(
  H810&lt;30,"Young Adult",
  H810&lt;50,"Adult",
  H810&gt;=50,"Senior"
)</f>
        <v>Senior</v>
      </c>
      <c r="J810" s="4" t="s">
        <v>16</v>
      </c>
      <c r="K810" s="4">
        <v>2</v>
      </c>
      <c r="L810" s="5">
        <v>50</v>
      </c>
      <c r="M810" s="5">
        <f xml:space="preserve"> K810*L810</f>
        <v>100</v>
      </c>
      <c r="N810" s="14">
        <f xml:space="preserve"> M810 * $Q$3</f>
        <v>1.5</v>
      </c>
      <c r="O810" s="5"/>
    </row>
    <row r="811" spans="1:15">
      <c r="A811" s="2">
        <v>810</v>
      </c>
      <c r="B811" s="4">
        <f>DAY(E811)</f>
        <v>30</v>
      </c>
      <c r="C811" s="4">
        <f>MONTH(E811)</f>
        <v>11</v>
      </c>
      <c r="D811" s="4">
        <f>YEAR(E811)</f>
        <v>2023</v>
      </c>
      <c r="E811" s="3">
        <v>45260</v>
      </c>
      <c r="F811" s="4" t="s">
        <v>833</v>
      </c>
      <c r="G811" s="4" t="s">
        <v>15</v>
      </c>
      <c r="H811" s="4">
        <v>59</v>
      </c>
      <c r="I811" s="4" t="str" cm="1">
        <f t="array" ref="I811">_xlfn.IFS(
  H811&lt;30,"Young Adult",
  H811&lt;50,"Adult",
  H811&gt;=50,"Senior"
)</f>
        <v>Senior</v>
      </c>
      <c r="J811" s="4" t="s">
        <v>23</v>
      </c>
      <c r="K811" s="4">
        <v>4</v>
      </c>
      <c r="L811" s="5">
        <v>25</v>
      </c>
      <c r="M811" s="5">
        <f xml:space="preserve"> K811*L811</f>
        <v>100</v>
      </c>
      <c r="N811" s="14">
        <f xml:space="preserve"> M811 * $Q$3</f>
        <v>1.5</v>
      </c>
      <c r="O811" s="5"/>
    </row>
    <row r="812" spans="1:15">
      <c r="A812" s="2">
        <v>811</v>
      </c>
      <c r="B812" s="4">
        <f>DAY(E812)</f>
        <v>19</v>
      </c>
      <c r="C812" s="4">
        <f>MONTH(E812)</f>
        <v>5</v>
      </c>
      <c r="D812" s="4">
        <f>YEAR(E812)</f>
        <v>2023</v>
      </c>
      <c r="E812" s="17">
        <v>45065</v>
      </c>
      <c r="F812" s="4" t="s">
        <v>834</v>
      </c>
      <c r="G812" s="4" t="s">
        <v>15</v>
      </c>
      <c r="H812" s="4">
        <v>61</v>
      </c>
      <c r="I812" s="4" t="str" cm="1">
        <f t="array" ref="I812">_xlfn.IFS(
  H812&lt;30,"Young Adult",
  H812&lt;50,"Adult",
  H812&gt;=50,"Senior"
)</f>
        <v>Senior</v>
      </c>
      <c r="J812" s="4" t="s">
        <v>16</v>
      </c>
      <c r="K812" s="4">
        <v>2</v>
      </c>
      <c r="L812" s="5">
        <v>25</v>
      </c>
      <c r="M812" s="5">
        <f xml:space="preserve"> K812*L812</f>
        <v>50</v>
      </c>
      <c r="N812" s="14">
        <f xml:space="preserve"> M812 * $Q$3</f>
        <v>0.75</v>
      </c>
      <c r="O812" s="5"/>
    </row>
    <row r="813" spans="1:15">
      <c r="A813" s="2">
        <v>812</v>
      </c>
      <c r="B813" s="4">
        <f>DAY(E813)</f>
        <v>12</v>
      </c>
      <c r="C813" s="4">
        <f>MONTH(E813)</f>
        <v>11</v>
      </c>
      <c r="D813" s="4">
        <f>YEAR(E813)</f>
        <v>2023</v>
      </c>
      <c r="E813" s="3">
        <v>45242</v>
      </c>
      <c r="F813" s="4" t="s">
        <v>835</v>
      </c>
      <c r="G813" s="4" t="s">
        <v>15</v>
      </c>
      <c r="H813" s="4">
        <v>19</v>
      </c>
      <c r="I813" s="4" t="str" cm="1">
        <f t="array" ref="I813">_xlfn.IFS(
  H813&lt;30,"Young Adult",
  H813&lt;50,"Adult",
  H813&gt;=50,"Senior"
)</f>
        <v>Young Adult</v>
      </c>
      <c r="J813" s="4" t="s">
        <v>23</v>
      </c>
      <c r="K813" s="4">
        <v>3</v>
      </c>
      <c r="L813" s="5">
        <v>25</v>
      </c>
      <c r="M813" s="5">
        <f xml:space="preserve"> K813*L813</f>
        <v>75</v>
      </c>
      <c r="N813" s="14">
        <f xml:space="preserve"> M813 * $Q$3</f>
        <v>1.125</v>
      </c>
      <c r="O813" s="5"/>
    </row>
    <row r="814" spans="1:15">
      <c r="A814" s="2">
        <v>813</v>
      </c>
      <c r="B814" s="4">
        <f>DAY(E814)</f>
        <v>3</v>
      </c>
      <c r="C814" s="4">
        <f>MONTH(E814)</f>
        <v>10</v>
      </c>
      <c r="D814" s="4">
        <f>YEAR(E814)</f>
        <v>2023</v>
      </c>
      <c r="E814" s="3">
        <v>45202</v>
      </c>
      <c r="F814" s="4" t="s">
        <v>836</v>
      </c>
      <c r="G814" s="4" t="s">
        <v>15</v>
      </c>
      <c r="H814" s="4">
        <v>52</v>
      </c>
      <c r="I814" s="4" t="str" cm="1">
        <f t="array" ref="I814">_xlfn.IFS(
  H814&lt;30,"Young Adult",
  H814&lt;50,"Adult",
  H814&gt;=50,"Senior"
)</f>
        <v>Senior</v>
      </c>
      <c r="J814" s="4" t="s">
        <v>23</v>
      </c>
      <c r="K814" s="4">
        <v>3</v>
      </c>
      <c r="L814" s="5">
        <v>50</v>
      </c>
      <c r="M814" s="5">
        <f xml:space="preserve"> K814*L814</f>
        <v>150</v>
      </c>
      <c r="N814" s="14">
        <f xml:space="preserve"> M814 * $Q$3</f>
        <v>2.25</v>
      </c>
      <c r="O814" s="5"/>
    </row>
    <row r="815" spans="1:15">
      <c r="A815" s="2">
        <v>814</v>
      </c>
      <c r="B815" s="4">
        <f>DAY(E815)</f>
        <v>5</v>
      </c>
      <c r="C815" s="4">
        <f>MONTH(E815)</f>
        <v>9</v>
      </c>
      <c r="D815" s="4">
        <f>YEAR(E815)</f>
        <v>2023</v>
      </c>
      <c r="E815" s="3">
        <v>45174</v>
      </c>
      <c r="F815" s="4" t="s">
        <v>837</v>
      </c>
      <c r="G815" s="4" t="s">
        <v>19</v>
      </c>
      <c r="H815" s="4">
        <v>59</v>
      </c>
      <c r="I815" s="4" t="str" cm="1">
        <f t="array" ref="I815">_xlfn.IFS(
  H815&lt;30,"Young Adult",
  H815&lt;50,"Adult",
  H815&gt;=50,"Senior"
)</f>
        <v>Senior</v>
      </c>
      <c r="J815" s="4" t="s">
        <v>20</v>
      </c>
      <c r="K815" s="4">
        <v>1</v>
      </c>
      <c r="L815" s="5">
        <v>500</v>
      </c>
      <c r="M815" s="5">
        <f xml:space="preserve"> K815*L815</f>
        <v>500</v>
      </c>
      <c r="N815" s="14">
        <f xml:space="preserve"> M815 * $Q$3</f>
        <v>7.5</v>
      </c>
      <c r="O815" s="5"/>
    </row>
    <row r="816" spans="1:15">
      <c r="A816" s="2">
        <v>815</v>
      </c>
      <c r="B816" s="4">
        <f>DAY(E816)</f>
        <v>27</v>
      </c>
      <c r="C816" s="4">
        <f>MONTH(E816)</f>
        <v>8</v>
      </c>
      <c r="D816" s="4">
        <f>YEAR(E816)</f>
        <v>2023</v>
      </c>
      <c r="E816" s="3">
        <v>45165</v>
      </c>
      <c r="F816" s="4" t="s">
        <v>838</v>
      </c>
      <c r="G816" s="4" t="s">
        <v>19</v>
      </c>
      <c r="H816" s="4">
        <v>51</v>
      </c>
      <c r="I816" s="4" t="str" cm="1">
        <f t="array" ref="I816">_xlfn.IFS(
  H816&lt;30,"Young Adult",
  H816&lt;50,"Adult",
  H816&gt;=50,"Senior"
)</f>
        <v>Senior</v>
      </c>
      <c r="J816" s="4" t="s">
        <v>20</v>
      </c>
      <c r="K816" s="4">
        <v>3</v>
      </c>
      <c r="L816" s="5">
        <v>25</v>
      </c>
      <c r="M816" s="5">
        <f xml:space="preserve"> K816*L816</f>
        <v>75</v>
      </c>
      <c r="N816" s="14">
        <f xml:space="preserve"> M816 * $Q$3</f>
        <v>1.125</v>
      </c>
      <c r="O816" s="5"/>
    </row>
    <row r="817" spans="1:15">
      <c r="A817" s="2">
        <v>816</v>
      </c>
      <c r="B817" s="4">
        <f>DAY(E817)</f>
        <v>12</v>
      </c>
      <c r="C817" s="4">
        <f>MONTH(E817)</f>
        <v>8</v>
      </c>
      <c r="D817" s="4">
        <f>YEAR(E817)</f>
        <v>2023</v>
      </c>
      <c r="E817" s="3">
        <v>45150</v>
      </c>
      <c r="F817" s="4" t="s">
        <v>839</v>
      </c>
      <c r="G817" s="4" t="s">
        <v>15</v>
      </c>
      <c r="H817" s="4">
        <v>47</v>
      </c>
      <c r="I817" s="4" t="str" cm="1">
        <f t="array" ref="I817">_xlfn.IFS(
  H817&lt;30,"Young Adult",
  H817&lt;50,"Adult",
  H817&gt;=50,"Senior"
)</f>
        <v>Adult</v>
      </c>
      <c r="J817" s="4" t="s">
        <v>16</v>
      </c>
      <c r="K817" s="4">
        <v>2</v>
      </c>
      <c r="L817" s="5">
        <v>500</v>
      </c>
      <c r="M817" s="5">
        <f xml:space="preserve"> K817*L817</f>
        <v>1000</v>
      </c>
      <c r="N817" s="14">
        <f xml:space="preserve"> M817 * $Q$3</f>
        <v>15</v>
      </c>
      <c r="O817" s="5"/>
    </row>
    <row r="818" spans="1:15">
      <c r="A818" s="2">
        <v>817</v>
      </c>
      <c r="B818" s="4">
        <f>DAY(E818)</f>
        <v>31</v>
      </c>
      <c r="C818" s="4">
        <f>MONTH(E818)</f>
        <v>10</v>
      </c>
      <c r="D818" s="4">
        <f>YEAR(E818)</f>
        <v>2023</v>
      </c>
      <c r="E818" s="3">
        <v>45230</v>
      </c>
      <c r="F818" s="4" t="s">
        <v>840</v>
      </c>
      <c r="G818" s="4" t="s">
        <v>15</v>
      </c>
      <c r="H818" s="4">
        <v>30</v>
      </c>
      <c r="I818" s="4" t="str" cm="1">
        <f t="array" ref="I818">_xlfn.IFS(
  H818&lt;30,"Young Adult",
  H818&lt;50,"Adult",
  H818&gt;=50,"Senior"
)</f>
        <v>Adult</v>
      </c>
      <c r="J818" s="4" t="s">
        <v>16</v>
      </c>
      <c r="K818" s="4">
        <v>4</v>
      </c>
      <c r="L818" s="5">
        <v>50</v>
      </c>
      <c r="M818" s="5">
        <f xml:space="preserve"> K818*L818</f>
        <v>200</v>
      </c>
      <c r="N818" s="14">
        <f xml:space="preserve"> M818 * $Q$3</f>
        <v>3</v>
      </c>
      <c r="O818" s="5"/>
    </row>
    <row r="819" spans="1:15">
      <c r="A819" s="2">
        <v>818</v>
      </c>
      <c r="B819" s="4">
        <f>DAY(E819)</f>
        <v>18</v>
      </c>
      <c r="C819" s="4">
        <f>MONTH(E819)</f>
        <v>5</v>
      </c>
      <c r="D819" s="4">
        <f>YEAR(E819)</f>
        <v>2023</v>
      </c>
      <c r="E819" s="17">
        <v>45064</v>
      </c>
      <c r="F819" s="4" t="s">
        <v>841</v>
      </c>
      <c r="G819" s="4" t="s">
        <v>15</v>
      </c>
      <c r="H819" s="4">
        <v>30</v>
      </c>
      <c r="I819" s="4" t="str" cm="1">
        <f t="array" ref="I819">_xlfn.IFS(
  H819&lt;30,"Young Adult",
  H819&lt;50,"Adult",
  H819&gt;=50,"Senior"
)</f>
        <v>Adult</v>
      </c>
      <c r="J819" s="4" t="s">
        <v>23</v>
      </c>
      <c r="K819" s="4">
        <v>1</v>
      </c>
      <c r="L819" s="5">
        <v>500</v>
      </c>
      <c r="M819" s="5">
        <f xml:space="preserve"> K819*L819</f>
        <v>500</v>
      </c>
      <c r="N819" s="14">
        <f xml:space="preserve"> M819 * $Q$3</f>
        <v>7.5</v>
      </c>
      <c r="O819" s="5"/>
    </row>
    <row r="820" spans="1:15">
      <c r="A820" s="2">
        <v>819</v>
      </c>
      <c r="B820" s="4">
        <f>DAY(E820)</f>
        <v>15</v>
      </c>
      <c r="C820" s="4">
        <f>MONTH(E820)</f>
        <v>6</v>
      </c>
      <c r="D820" s="4">
        <f>YEAR(E820)</f>
        <v>2023</v>
      </c>
      <c r="E820" s="3">
        <v>45092</v>
      </c>
      <c r="F820" s="4" t="s">
        <v>842</v>
      </c>
      <c r="G820" s="4" t="s">
        <v>19</v>
      </c>
      <c r="H820" s="4">
        <v>35</v>
      </c>
      <c r="I820" s="4" t="str" cm="1">
        <f t="array" ref="I820">_xlfn.IFS(
  H820&lt;30,"Young Adult",
  H820&lt;50,"Adult",
  H820&gt;=50,"Senior"
)</f>
        <v>Adult</v>
      </c>
      <c r="J820" s="4" t="s">
        <v>16</v>
      </c>
      <c r="K820" s="4">
        <v>2</v>
      </c>
      <c r="L820" s="5">
        <v>50</v>
      </c>
      <c r="M820" s="5">
        <f xml:space="preserve"> K820*L820</f>
        <v>100</v>
      </c>
      <c r="N820" s="14">
        <f xml:space="preserve"> M820 * $Q$3</f>
        <v>1.5</v>
      </c>
      <c r="O820" s="5"/>
    </row>
    <row r="821" spans="1:15">
      <c r="A821" s="2">
        <v>820</v>
      </c>
      <c r="B821" s="4">
        <f>DAY(E821)</f>
        <v>6</v>
      </c>
      <c r="C821" s="4">
        <f>MONTH(E821)</f>
        <v>5</v>
      </c>
      <c r="D821" s="4">
        <f>YEAR(E821)</f>
        <v>2023</v>
      </c>
      <c r="E821" s="17">
        <v>45052</v>
      </c>
      <c r="F821" s="4" t="s">
        <v>843</v>
      </c>
      <c r="G821" s="4" t="s">
        <v>15</v>
      </c>
      <c r="H821" s="4">
        <v>49</v>
      </c>
      <c r="I821" s="4" t="str" cm="1">
        <f t="array" ref="I821">_xlfn.IFS(
  H821&lt;30,"Young Adult",
  H821&lt;50,"Adult",
  H821&gt;=50,"Senior"
)</f>
        <v>Adult</v>
      </c>
      <c r="J821" s="4" t="s">
        <v>23</v>
      </c>
      <c r="K821" s="4">
        <v>4</v>
      </c>
      <c r="L821" s="5">
        <v>50</v>
      </c>
      <c r="M821" s="5">
        <f xml:space="preserve"> K821*L821</f>
        <v>200</v>
      </c>
      <c r="N821" s="14">
        <f xml:space="preserve"> M821 * $Q$3</f>
        <v>3</v>
      </c>
      <c r="O821" s="5"/>
    </row>
    <row r="822" spans="1:15">
      <c r="A822" s="2">
        <v>821</v>
      </c>
      <c r="B822" s="4">
        <f>DAY(E822)</f>
        <v>14</v>
      </c>
      <c r="C822" s="4">
        <f>MONTH(E822)</f>
        <v>2</v>
      </c>
      <c r="D822" s="4">
        <f>YEAR(E822)</f>
        <v>2023</v>
      </c>
      <c r="E822" s="3">
        <v>44971</v>
      </c>
      <c r="F822" s="4" t="s">
        <v>844</v>
      </c>
      <c r="G822" s="4" t="s">
        <v>15</v>
      </c>
      <c r="H822" s="4">
        <v>49</v>
      </c>
      <c r="I822" s="4" t="str" cm="1">
        <f t="array" ref="I822">_xlfn.IFS(
  H822&lt;30,"Young Adult",
  H822&lt;50,"Adult",
  H822&gt;=50,"Senior"
)</f>
        <v>Adult</v>
      </c>
      <c r="J822" s="4" t="s">
        <v>23</v>
      </c>
      <c r="K822" s="4">
        <v>1</v>
      </c>
      <c r="L822" s="5">
        <v>300</v>
      </c>
      <c r="M822" s="5">
        <f xml:space="preserve"> K822*L822</f>
        <v>300</v>
      </c>
      <c r="N822" s="14">
        <f xml:space="preserve"> M822 * $Q$3</f>
        <v>4.5</v>
      </c>
      <c r="O822" s="5"/>
    </row>
    <row r="823" spans="1:15">
      <c r="A823" s="2">
        <v>822</v>
      </c>
      <c r="B823" s="4">
        <f>DAY(E823)</f>
        <v>23</v>
      </c>
      <c r="C823" s="4">
        <f>MONTH(E823)</f>
        <v>5</v>
      </c>
      <c r="D823" s="4">
        <f>YEAR(E823)</f>
        <v>2023</v>
      </c>
      <c r="E823" s="17">
        <v>45069</v>
      </c>
      <c r="F823" s="4" t="s">
        <v>845</v>
      </c>
      <c r="G823" s="4" t="s">
        <v>19</v>
      </c>
      <c r="H823" s="4">
        <v>52</v>
      </c>
      <c r="I823" s="4" t="str" cm="1">
        <f t="array" ref="I823">_xlfn.IFS(
  H823&lt;30,"Young Adult",
  H823&lt;50,"Adult",
  H823&gt;=50,"Senior"
)</f>
        <v>Senior</v>
      </c>
      <c r="J823" s="4" t="s">
        <v>16</v>
      </c>
      <c r="K823" s="4">
        <v>3</v>
      </c>
      <c r="L823" s="5">
        <v>50</v>
      </c>
      <c r="M823" s="5">
        <f xml:space="preserve"> K823*L823</f>
        <v>150</v>
      </c>
      <c r="N823" s="14">
        <f xml:space="preserve"> M823 * $Q$3</f>
        <v>2.25</v>
      </c>
      <c r="O823" s="5"/>
    </row>
    <row r="824" spans="1:15">
      <c r="A824" s="2">
        <v>823</v>
      </c>
      <c r="B824" s="4">
        <f>DAY(E824)</f>
        <v>19</v>
      </c>
      <c r="C824" s="4">
        <f>MONTH(E824)</f>
        <v>8</v>
      </c>
      <c r="D824" s="4">
        <f>YEAR(E824)</f>
        <v>2023</v>
      </c>
      <c r="E824" s="3">
        <v>45157</v>
      </c>
      <c r="F824" s="4" t="s">
        <v>846</v>
      </c>
      <c r="G824" s="4" t="s">
        <v>19</v>
      </c>
      <c r="H824" s="4">
        <v>56</v>
      </c>
      <c r="I824" s="4" t="str" cm="1">
        <f t="array" ref="I824">_xlfn.IFS(
  H824&lt;30,"Young Adult",
  H824&lt;50,"Adult",
  H824&gt;=50,"Senior"
)</f>
        <v>Senior</v>
      </c>
      <c r="J824" s="4" t="s">
        <v>23</v>
      </c>
      <c r="K824" s="4">
        <v>2</v>
      </c>
      <c r="L824" s="5">
        <v>50</v>
      </c>
      <c r="M824" s="5">
        <f xml:space="preserve"> K824*L824</f>
        <v>100</v>
      </c>
      <c r="N824" s="14">
        <f xml:space="preserve"> M824 * $Q$3</f>
        <v>1.5</v>
      </c>
      <c r="O824" s="5"/>
    </row>
    <row r="825" spans="1:15">
      <c r="A825" s="2">
        <v>824</v>
      </c>
      <c r="B825" s="4">
        <f>DAY(E825)</f>
        <v>5</v>
      </c>
      <c r="C825" s="4">
        <f>MONTH(E825)</f>
        <v>5</v>
      </c>
      <c r="D825" s="4">
        <f>YEAR(E825)</f>
        <v>2023</v>
      </c>
      <c r="E825" s="17">
        <v>45051</v>
      </c>
      <c r="F825" s="4" t="s">
        <v>847</v>
      </c>
      <c r="G825" s="4" t="s">
        <v>15</v>
      </c>
      <c r="H825" s="4">
        <v>63</v>
      </c>
      <c r="I825" s="4" t="str" cm="1">
        <f t="array" ref="I825">_xlfn.IFS(
  H825&lt;30,"Young Adult",
  H825&lt;50,"Adult",
  H825&gt;=50,"Senior"
)</f>
        <v>Senior</v>
      </c>
      <c r="J825" s="4" t="s">
        <v>20</v>
      </c>
      <c r="K825" s="4">
        <v>4</v>
      </c>
      <c r="L825" s="5">
        <v>30</v>
      </c>
      <c r="M825" s="5">
        <f xml:space="preserve"> K825*L825</f>
        <v>120</v>
      </c>
      <c r="N825" s="14">
        <f xml:space="preserve"> M825 * $Q$3</f>
        <v>1.7999999999999998</v>
      </c>
      <c r="O825" s="5"/>
    </row>
    <row r="826" spans="1:15">
      <c r="A826" s="2">
        <v>825</v>
      </c>
      <c r="B826" s="4">
        <f>DAY(E826)</f>
        <v>26</v>
      </c>
      <c r="C826" s="4">
        <f>MONTH(E826)</f>
        <v>8</v>
      </c>
      <c r="D826" s="4">
        <f>YEAR(E826)</f>
        <v>2023</v>
      </c>
      <c r="E826" s="3">
        <v>45164</v>
      </c>
      <c r="F826" s="4" t="s">
        <v>848</v>
      </c>
      <c r="G826" s="4" t="s">
        <v>19</v>
      </c>
      <c r="H826" s="4">
        <v>46</v>
      </c>
      <c r="I826" s="4" t="str" cm="1">
        <f t="array" ref="I826">_xlfn.IFS(
  H826&lt;30,"Young Adult",
  H826&lt;50,"Adult",
  H826&gt;=50,"Senior"
)</f>
        <v>Adult</v>
      </c>
      <c r="J826" s="4" t="s">
        <v>16</v>
      </c>
      <c r="K826" s="4">
        <v>1</v>
      </c>
      <c r="L826" s="5">
        <v>25</v>
      </c>
      <c r="M826" s="5">
        <f xml:space="preserve"> K826*L826</f>
        <v>25</v>
      </c>
      <c r="N826" s="14">
        <f xml:space="preserve"> M826 * $Q$3</f>
        <v>0.375</v>
      </c>
      <c r="O826" s="5"/>
    </row>
    <row r="827" spans="1:15">
      <c r="A827" s="2">
        <v>826</v>
      </c>
      <c r="B827" s="4">
        <f>DAY(E827)</f>
        <v>19</v>
      </c>
      <c r="C827" s="4">
        <f>MONTH(E827)</f>
        <v>10</v>
      </c>
      <c r="D827" s="4">
        <f>YEAR(E827)</f>
        <v>2023</v>
      </c>
      <c r="E827" s="3">
        <v>45218</v>
      </c>
      <c r="F827" s="4" t="s">
        <v>849</v>
      </c>
      <c r="G827" s="4" t="s">
        <v>19</v>
      </c>
      <c r="H827" s="4">
        <v>46</v>
      </c>
      <c r="I827" s="4" t="str" cm="1">
        <f t="array" ref="I827">_xlfn.IFS(
  H827&lt;30,"Young Adult",
  H827&lt;50,"Adult",
  H827&gt;=50,"Senior"
)</f>
        <v>Adult</v>
      </c>
      <c r="J827" s="4" t="s">
        <v>20</v>
      </c>
      <c r="K827" s="4">
        <v>1</v>
      </c>
      <c r="L827" s="5">
        <v>300</v>
      </c>
      <c r="M827" s="5">
        <f xml:space="preserve"> K827*L827</f>
        <v>300</v>
      </c>
      <c r="N827" s="14">
        <f xml:space="preserve"> M827 * $Q$3</f>
        <v>4.5</v>
      </c>
      <c r="O827" s="5"/>
    </row>
    <row r="828" spans="1:15">
      <c r="A828" s="2">
        <v>827</v>
      </c>
      <c r="B828" s="4">
        <f>DAY(E828)</f>
        <v>9</v>
      </c>
      <c r="C828" s="4">
        <f>MONTH(E828)</f>
        <v>11</v>
      </c>
      <c r="D828" s="4">
        <f>YEAR(E828)</f>
        <v>2023</v>
      </c>
      <c r="E828" s="3">
        <v>45239</v>
      </c>
      <c r="F828" s="4" t="s">
        <v>850</v>
      </c>
      <c r="G828" s="4" t="s">
        <v>15</v>
      </c>
      <c r="H828" s="4">
        <v>61</v>
      </c>
      <c r="I828" s="4" t="str" cm="1">
        <f t="array" ref="I828">_xlfn.IFS(
  H828&lt;30,"Young Adult",
  H828&lt;50,"Adult",
  H828&gt;=50,"Senior"
)</f>
        <v>Senior</v>
      </c>
      <c r="J828" s="4" t="s">
        <v>16</v>
      </c>
      <c r="K828" s="4">
        <v>3</v>
      </c>
      <c r="L828" s="5">
        <v>300</v>
      </c>
      <c r="M828" s="5">
        <f xml:space="preserve"> K828*L828</f>
        <v>900</v>
      </c>
      <c r="N828" s="14">
        <f xml:space="preserve"> M828 * $Q$3</f>
        <v>13.5</v>
      </c>
      <c r="O828" s="5"/>
    </row>
    <row r="829" spans="1:15">
      <c r="A829" s="2">
        <v>828</v>
      </c>
      <c r="B829" s="4">
        <f>DAY(E829)</f>
        <v>9</v>
      </c>
      <c r="C829" s="4">
        <f>MONTH(E829)</f>
        <v>12</v>
      </c>
      <c r="D829" s="4">
        <f>YEAR(E829)</f>
        <v>2023</v>
      </c>
      <c r="E829" s="3">
        <v>45269</v>
      </c>
      <c r="F829" s="4" t="s">
        <v>851</v>
      </c>
      <c r="G829" s="4" t="s">
        <v>19</v>
      </c>
      <c r="H829" s="4">
        <v>33</v>
      </c>
      <c r="I829" s="4" t="str" cm="1">
        <f t="array" ref="I829">_xlfn.IFS(
  H829&lt;30,"Young Adult",
  H829&lt;50,"Adult",
  H829&gt;=50,"Senior"
)</f>
        <v>Adult</v>
      </c>
      <c r="J829" s="4" t="s">
        <v>23</v>
      </c>
      <c r="K829" s="4">
        <v>4</v>
      </c>
      <c r="L829" s="5">
        <v>300</v>
      </c>
      <c r="M829" s="5">
        <f xml:space="preserve"> K829*L829</f>
        <v>1200</v>
      </c>
      <c r="N829" s="14">
        <f xml:space="preserve"> M829 * $Q$3</f>
        <v>18</v>
      </c>
      <c r="O829" s="5"/>
    </row>
    <row r="830" spans="1:15">
      <c r="A830" s="2">
        <v>829</v>
      </c>
      <c r="B830" s="4">
        <f>DAY(E830)</f>
        <v>14</v>
      </c>
      <c r="C830" s="4">
        <f>MONTH(E830)</f>
        <v>7</v>
      </c>
      <c r="D830" s="4">
        <f>YEAR(E830)</f>
        <v>2023</v>
      </c>
      <c r="E830" s="3">
        <v>45121</v>
      </c>
      <c r="F830" s="4" t="s">
        <v>852</v>
      </c>
      <c r="G830" s="4" t="s">
        <v>15</v>
      </c>
      <c r="H830" s="4">
        <v>61</v>
      </c>
      <c r="I830" s="4" t="str" cm="1">
        <f t="array" ref="I830">_xlfn.IFS(
  H830&lt;30,"Young Adult",
  H830&lt;50,"Adult",
  H830&gt;=50,"Senior"
)</f>
        <v>Senior</v>
      </c>
      <c r="J830" s="4" t="s">
        <v>16</v>
      </c>
      <c r="K830" s="4">
        <v>3</v>
      </c>
      <c r="L830" s="5">
        <v>30</v>
      </c>
      <c r="M830" s="5">
        <f xml:space="preserve"> K830*L830</f>
        <v>90</v>
      </c>
      <c r="N830" s="14">
        <f xml:space="preserve"> M830 * $Q$3</f>
        <v>1.3499999999999999</v>
      </c>
      <c r="O830" s="5"/>
    </row>
    <row r="831" spans="1:15">
      <c r="A831" s="2">
        <v>830</v>
      </c>
      <c r="B831" s="4">
        <f>DAY(E831)</f>
        <v>22</v>
      </c>
      <c r="C831" s="4">
        <f>MONTH(E831)</f>
        <v>6</v>
      </c>
      <c r="D831" s="4">
        <f>YEAR(E831)</f>
        <v>2023</v>
      </c>
      <c r="E831" s="3">
        <v>45099</v>
      </c>
      <c r="F831" s="4" t="s">
        <v>853</v>
      </c>
      <c r="G831" s="4" t="s">
        <v>19</v>
      </c>
      <c r="H831" s="4">
        <v>64</v>
      </c>
      <c r="I831" s="4" t="str" cm="1">
        <f t="array" ref="I831">_xlfn.IFS(
  H831&lt;30,"Young Adult",
  H831&lt;50,"Adult",
  H831&gt;=50,"Senior"
)</f>
        <v>Senior</v>
      </c>
      <c r="J831" s="4" t="s">
        <v>20</v>
      </c>
      <c r="K831" s="4">
        <v>3</v>
      </c>
      <c r="L831" s="5">
        <v>50</v>
      </c>
      <c r="M831" s="5">
        <f xml:space="preserve"> K831*L831</f>
        <v>150</v>
      </c>
      <c r="N831" s="14">
        <f xml:space="preserve"> M831 * $Q$3</f>
        <v>2.25</v>
      </c>
      <c r="O831" s="5"/>
    </row>
    <row r="832" spans="1:15">
      <c r="A832" s="2">
        <v>831</v>
      </c>
      <c r="B832" s="4">
        <f>DAY(E832)</f>
        <v>15</v>
      </c>
      <c r="C832" s="4">
        <f>MONTH(E832)</f>
        <v>1</v>
      </c>
      <c r="D832" s="4">
        <f>YEAR(E832)</f>
        <v>2023</v>
      </c>
      <c r="E832" s="3">
        <v>44941</v>
      </c>
      <c r="F832" s="4" t="s">
        <v>854</v>
      </c>
      <c r="G832" s="4" t="s">
        <v>15</v>
      </c>
      <c r="H832" s="4">
        <v>27</v>
      </c>
      <c r="I832" s="4" t="str" cm="1">
        <f t="array" ref="I832">_xlfn.IFS(
  H832&lt;30,"Young Adult",
  H832&lt;50,"Adult",
  H832&gt;=50,"Senior"
)</f>
        <v>Young Adult</v>
      </c>
      <c r="J832" s="4" t="s">
        <v>23</v>
      </c>
      <c r="K832" s="4">
        <v>4</v>
      </c>
      <c r="L832" s="5">
        <v>25</v>
      </c>
      <c r="M832" s="5">
        <f xml:space="preserve"> K832*L832</f>
        <v>100</v>
      </c>
      <c r="N832" s="14">
        <f xml:space="preserve"> M832 * $Q$3</f>
        <v>1.5</v>
      </c>
      <c r="O832" s="5"/>
    </row>
    <row r="833" spans="1:15">
      <c r="A833" s="2">
        <v>832</v>
      </c>
      <c r="B833" s="4">
        <f>DAY(E833)</f>
        <v>11</v>
      </c>
      <c r="C833" s="4">
        <f>MONTH(E833)</f>
        <v>9</v>
      </c>
      <c r="D833" s="4">
        <f>YEAR(E833)</f>
        <v>2023</v>
      </c>
      <c r="E833" s="3">
        <v>45180</v>
      </c>
      <c r="F833" s="4" t="s">
        <v>855</v>
      </c>
      <c r="G833" s="4" t="s">
        <v>15</v>
      </c>
      <c r="H833" s="4">
        <v>47</v>
      </c>
      <c r="I833" s="4" t="str" cm="1">
        <f t="array" ref="I833">_xlfn.IFS(
  H833&lt;30,"Young Adult",
  H833&lt;50,"Adult",
  H833&gt;=50,"Senior"
)</f>
        <v>Adult</v>
      </c>
      <c r="J833" s="4" t="s">
        <v>16</v>
      </c>
      <c r="K833" s="4">
        <v>4</v>
      </c>
      <c r="L833" s="5">
        <v>500</v>
      </c>
      <c r="M833" s="5">
        <f xml:space="preserve"> K833*L833</f>
        <v>2000</v>
      </c>
      <c r="N833" s="14">
        <f xml:space="preserve"> M833 * $Q$3</f>
        <v>30</v>
      </c>
      <c r="O833" s="5"/>
    </row>
    <row r="834" spans="1:15">
      <c r="A834" s="2">
        <v>833</v>
      </c>
      <c r="B834" s="4">
        <f>DAY(E834)</f>
        <v>16</v>
      </c>
      <c r="C834" s="4">
        <f>MONTH(E834)</f>
        <v>6</v>
      </c>
      <c r="D834" s="4">
        <f>YEAR(E834)</f>
        <v>2023</v>
      </c>
      <c r="E834" s="3">
        <v>45093</v>
      </c>
      <c r="F834" s="4" t="s">
        <v>856</v>
      </c>
      <c r="G834" s="4" t="s">
        <v>15</v>
      </c>
      <c r="H834" s="4">
        <v>42</v>
      </c>
      <c r="I834" s="4" t="str" cm="1">
        <f t="array" ref="I834">_xlfn.IFS(
  H834&lt;30,"Young Adult",
  H834&lt;50,"Adult",
  H834&gt;=50,"Senior"
)</f>
        <v>Adult</v>
      </c>
      <c r="J834" s="4" t="s">
        <v>16</v>
      </c>
      <c r="K834" s="4">
        <v>4</v>
      </c>
      <c r="L834" s="5">
        <v>50</v>
      </c>
      <c r="M834" s="5">
        <f xml:space="preserve"> K834*L834</f>
        <v>200</v>
      </c>
      <c r="N834" s="14">
        <f xml:space="preserve"> M834 * $Q$3</f>
        <v>3</v>
      </c>
      <c r="O834" s="5"/>
    </row>
    <row r="835" spans="1:15">
      <c r="A835" s="2">
        <v>834</v>
      </c>
      <c r="B835" s="4">
        <f>DAY(E835)</f>
        <v>4</v>
      </c>
      <c r="C835" s="4">
        <f>MONTH(E835)</f>
        <v>4</v>
      </c>
      <c r="D835" s="4">
        <f>YEAR(E835)</f>
        <v>2023</v>
      </c>
      <c r="E835" s="17">
        <v>45020</v>
      </c>
      <c r="F835" s="4" t="s">
        <v>857</v>
      </c>
      <c r="G835" s="4" t="s">
        <v>19</v>
      </c>
      <c r="H835" s="4">
        <v>56</v>
      </c>
      <c r="I835" s="4" t="str" cm="1">
        <f t="array" ref="I835">_xlfn.IFS(
  H835&lt;30,"Young Adult",
  H835&lt;50,"Adult",
  H835&gt;=50,"Senior"
)</f>
        <v>Senior</v>
      </c>
      <c r="J835" s="4" t="s">
        <v>16</v>
      </c>
      <c r="K835" s="4">
        <v>2</v>
      </c>
      <c r="L835" s="5">
        <v>30</v>
      </c>
      <c r="M835" s="5">
        <f xml:space="preserve"> K835*L835</f>
        <v>60</v>
      </c>
      <c r="N835" s="14">
        <f xml:space="preserve"> M835 * $Q$3</f>
        <v>0.89999999999999991</v>
      </c>
      <c r="O835" s="5"/>
    </row>
    <row r="836" spans="1:15">
      <c r="A836" s="2">
        <v>835</v>
      </c>
      <c r="B836" s="4">
        <f>DAY(E836)</f>
        <v>7</v>
      </c>
      <c r="C836" s="4">
        <f>MONTH(E836)</f>
        <v>9</v>
      </c>
      <c r="D836" s="4">
        <f>YEAR(E836)</f>
        <v>2023</v>
      </c>
      <c r="E836" s="3">
        <v>45176</v>
      </c>
      <c r="F836" s="4" t="s">
        <v>858</v>
      </c>
      <c r="G836" s="4" t="s">
        <v>15</v>
      </c>
      <c r="H836" s="4">
        <v>37</v>
      </c>
      <c r="I836" s="4" t="str" cm="1">
        <f t="array" ref="I836">_xlfn.IFS(
  H836&lt;30,"Young Adult",
  H836&lt;50,"Adult",
  H836&gt;=50,"Senior"
)</f>
        <v>Adult</v>
      </c>
      <c r="J836" s="4" t="s">
        <v>20</v>
      </c>
      <c r="K836" s="4">
        <v>4</v>
      </c>
      <c r="L836" s="5">
        <v>50</v>
      </c>
      <c r="M836" s="5">
        <f xml:space="preserve"> K836*L836</f>
        <v>200</v>
      </c>
      <c r="N836" s="14">
        <f xml:space="preserve"> M836 * $Q$3</f>
        <v>3</v>
      </c>
      <c r="O836" s="5"/>
    </row>
    <row r="837" spans="1:15">
      <c r="A837" s="2">
        <v>836</v>
      </c>
      <c r="B837" s="4">
        <f>DAY(E837)</f>
        <v>19</v>
      </c>
      <c r="C837" s="4">
        <f>MONTH(E837)</f>
        <v>4</v>
      </c>
      <c r="D837" s="4">
        <f>YEAR(E837)</f>
        <v>2023</v>
      </c>
      <c r="E837" s="17">
        <v>45035</v>
      </c>
      <c r="F837" s="4" t="s">
        <v>859</v>
      </c>
      <c r="G837" s="4" t="s">
        <v>19</v>
      </c>
      <c r="H837" s="4">
        <v>22</v>
      </c>
      <c r="I837" s="4" t="str" cm="1">
        <f t="array" ref="I837">_xlfn.IFS(
  H837&lt;30,"Young Adult",
  H837&lt;50,"Adult",
  H837&gt;=50,"Senior"
)</f>
        <v>Young Adult</v>
      </c>
      <c r="J837" s="4" t="s">
        <v>20</v>
      </c>
      <c r="K837" s="4">
        <v>1</v>
      </c>
      <c r="L837" s="5">
        <v>50</v>
      </c>
      <c r="M837" s="5">
        <f xml:space="preserve"> K837*L837</f>
        <v>50</v>
      </c>
      <c r="N837" s="14">
        <f xml:space="preserve"> M837 * $Q$3</f>
        <v>0.75</v>
      </c>
      <c r="O837" s="5"/>
    </row>
    <row r="838" spans="1:15">
      <c r="A838" s="2">
        <v>837</v>
      </c>
      <c r="B838" s="4">
        <f>DAY(E838)</f>
        <v>1</v>
      </c>
      <c r="C838" s="4">
        <f>MONTH(E838)</f>
        <v>7</v>
      </c>
      <c r="D838" s="4">
        <f>YEAR(E838)</f>
        <v>2023</v>
      </c>
      <c r="E838" s="3">
        <v>45108</v>
      </c>
      <c r="F838" s="4" t="s">
        <v>860</v>
      </c>
      <c r="G838" s="4" t="s">
        <v>15</v>
      </c>
      <c r="H838" s="4">
        <v>18</v>
      </c>
      <c r="I838" s="4" t="str" cm="1">
        <f t="array" ref="I838">_xlfn.IFS(
  H838&lt;30,"Young Adult",
  H838&lt;50,"Adult",
  H838&gt;=50,"Senior"
)</f>
        <v>Young Adult</v>
      </c>
      <c r="J838" s="4" t="s">
        <v>16</v>
      </c>
      <c r="K838" s="4">
        <v>3</v>
      </c>
      <c r="L838" s="5">
        <v>30</v>
      </c>
      <c r="M838" s="5">
        <f xml:space="preserve"> K838*L838</f>
        <v>90</v>
      </c>
      <c r="N838" s="14">
        <f xml:space="preserve"> M838 * $Q$3</f>
        <v>1.3499999999999999</v>
      </c>
      <c r="O838" s="5"/>
    </row>
    <row r="839" spans="1:15">
      <c r="A839" s="2">
        <v>838</v>
      </c>
      <c r="B839" s="4">
        <f>DAY(E839)</f>
        <v>13</v>
      </c>
      <c r="C839" s="4">
        <f>MONTH(E839)</f>
        <v>5</v>
      </c>
      <c r="D839" s="4">
        <f>YEAR(E839)</f>
        <v>2023</v>
      </c>
      <c r="E839" s="17">
        <v>45059</v>
      </c>
      <c r="F839" s="4" t="s">
        <v>861</v>
      </c>
      <c r="G839" s="4" t="s">
        <v>15</v>
      </c>
      <c r="H839" s="4">
        <v>47</v>
      </c>
      <c r="I839" s="4" t="str" cm="1">
        <f t="array" ref="I839">_xlfn.IFS(
  H839&lt;30,"Young Adult",
  H839&lt;50,"Adult",
  H839&gt;=50,"Senior"
)</f>
        <v>Adult</v>
      </c>
      <c r="J839" s="4" t="s">
        <v>23</v>
      </c>
      <c r="K839" s="4">
        <v>2</v>
      </c>
      <c r="L839" s="5">
        <v>300</v>
      </c>
      <c r="M839" s="5">
        <f xml:space="preserve"> K839*L839</f>
        <v>600</v>
      </c>
      <c r="N839" s="14">
        <f xml:space="preserve"> M839 * $Q$3</f>
        <v>9</v>
      </c>
      <c r="O839" s="5"/>
    </row>
    <row r="840" spans="1:15">
      <c r="A840" s="2">
        <v>839</v>
      </c>
      <c r="B840" s="4">
        <f>DAY(E840)</f>
        <v>24</v>
      </c>
      <c r="C840" s="4">
        <f>MONTH(E840)</f>
        <v>6</v>
      </c>
      <c r="D840" s="4">
        <f>YEAR(E840)</f>
        <v>2023</v>
      </c>
      <c r="E840" s="3">
        <v>45101</v>
      </c>
      <c r="F840" s="4" t="s">
        <v>862</v>
      </c>
      <c r="G840" s="4" t="s">
        <v>19</v>
      </c>
      <c r="H840" s="4">
        <v>20</v>
      </c>
      <c r="I840" s="4" t="str" cm="1">
        <f t="array" ref="I840">_xlfn.IFS(
  H840&lt;30,"Young Adult",
  H840&lt;50,"Adult",
  H840&gt;=50,"Senior"
)</f>
        <v>Young Adult</v>
      </c>
      <c r="J840" s="4" t="s">
        <v>23</v>
      </c>
      <c r="K840" s="4">
        <v>4</v>
      </c>
      <c r="L840" s="5">
        <v>300</v>
      </c>
      <c r="M840" s="5">
        <f xml:space="preserve"> K840*L840</f>
        <v>1200</v>
      </c>
      <c r="N840" s="14">
        <f xml:space="preserve"> M840 * $Q$3</f>
        <v>18</v>
      </c>
      <c r="O840" s="5"/>
    </row>
    <row r="841" spans="1:15">
      <c r="A841" s="2">
        <v>840</v>
      </c>
      <c r="B841" s="4">
        <f>DAY(E841)</f>
        <v>24</v>
      </c>
      <c r="C841" s="4">
        <f>MONTH(E841)</f>
        <v>5</v>
      </c>
      <c r="D841" s="4">
        <f>YEAR(E841)</f>
        <v>2023</v>
      </c>
      <c r="E841" s="17">
        <v>45070</v>
      </c>
      <c r="F841" s="4" t="s">
        <v>863</v>
      </c>
      <c r="G841" s="4" t="s">
        <v>15</v>
      </c>
      <c r="H841" s="4">
        <v>62</v>
      </c>
      <c r="I841" s="4" t="str" cm="1">
        <f t="array" ref="I841">_xlfn.IFS(
  H841&lt;30,"Young Adult",
  H841&lt;50,"Adult",
  H841&gt;=50,"Senior"
)</f>
        <v>Senior</v>
      </c>
      <c r="J841" s="4" t="s">
        <v>20</v>
      </c>
      <c r="K841" s="4">
        <v>2</v>
      </c>
      <c r="L841" s="5">
        <v>25</v>
      </c>
      <c r="M841" s="5">
        <f xml:space="preserve"> K841*L841</f>
        <v>50</v>
      </c>
      <c r="N841" s="14">
        <f xml:space="preserve"> M841 * $Q$3</f>
        <v>0.75</v>
      </c>
      <c r="O841" s="5"/>
    </row>
    <row r="842" spans="1:15">
      <c r="A842" s="2">
        <v>841</v>
      </c>
      <c r="B842" s="4">
        <f>DAY(E842)</f>
        <v>2</v>
      </c>
      <c r="C842" s="4">
        <f>MONTH(E842)</f>
        <v>11</v>
      </c>
      <c r="D842" s="4">
        <f>YEAR(E842)</f>
        <v>2023</v>
      </c>
      <c r="E842" s="3">
        <v>45232</v>
      </c>
      <c r="F842" s="4" t="s">
        <v>864</v>
      </c>
      <c r="G842" s="4" t="s">
        <v>15</v>
      </c>
      <c r="H842" s="4">
        <v>31</v>
      </c>
      <c r="I842" s="4" t="str" cm="1">
        <f t="array" ref="I842">_xlfn.IFS(
  H842&lt;30,"Young Adult",
  H842&lt;50,"Adult",
  H842&gt;=50,"Senior"
)</f>
        <v>Adult</v>
      </c>
      <c r="J842" s="4" t="s">
        <v>23</v>
      </c>
      <c r="K842" s="4">
        <v>4</v>
      </c>
      <c r="L842" s="5">
        <v>25</v>
      </c>
      <c r="M842" s="5">
        <f xml:space="preserve"> K842*L842</f>
        <v>100</v>
      </c>
      <c r="N842" s="14">
        <f xml:space="preserve"> M842 * $Q$3</f>
        <v>1.5</v>
      </c>
      <c r="O842" s="5"/>
    </row>
    <row r="843" spans="1:15">
      <c r="A843" s="2">
        <v>842</v>
      </c>
      <c r="B843" s="4">
        <f>DAY(E843)</f>
        <v>26</v>
      </c>
      <c r="C843" s="4">
        <f>MONTH(E843)</f>
        <v>12</v>
      </c>
      <c r="D843" s="4">
        <f>YEAR(E843)</f>
        <v>2023</v>
      </c>
      <c r="E843" s="3">
        <v>45286</v>
      </c>
      <c r="F843" s="4" t="s">
        <v>865</v>
      </c>
      <c r="G843" s="4" t="s">
        <v>19</v>
      </c>
      <c r="H843" s="4">
        <v>47</v>
      </c>
      <c r="I843" s="4" t="str" cm="1">
        <f t="array" ref="I843">_xlfn.IFS(
  H843&lt;30,"Young Adult",
  H843&lt;50,"Adult",
  H843&gt;=50,"Senior"
)</f>
        <v>Adult</v>
      </c>
      <c r="J843" s="4" t="s">
        <v>20</v>
      </c>
      <c r="K843" s="4">
        <v>2</v>
      </c>
      <c r="L843" s="5">
        <v>300</v>
      </c>
      <c r="M843" s="5">
        <f xml:space="preserve"> K843*L843</f>
        <v>600</v>
      </c>
      <c r="N843" s="14">
        <f xml:space="preserve"> M843 * $Q$3</f>
        <v>9</v>
      </c>
      <c r="O843" s="5"/>
    </row>
    <row r="844" spans="1:15">
      <c r="A844" s="2">
        <v>843</v>
      </c>
      <c r="B844" s="4">
        <f>DAY(E844)</f>
        <v>22</v>
      </c>
      <c r="C844" s="4">
        <f>MONTH(E844)</f>
        <v>5</v>
      </c>
      <c r="D844" s="4">
        <f>YEAR(E844)</f>
        <v>2023</v>
      </c>
      <c r="E844" s="17">
        <v>45068</v>
      </c>
      <c r="F844" s="4" t="s">
        <v>866</v>
      </c>
      <c r="G844" s="4" t="s">
        <v>15</v>
      </c>
      <c r="H844" s="4">
        <v>21</v>
      </c>
      <c r="I844" s="4" t="str" cm="1">
        <f t="array" ref="I844">_xlfn.IFS(
  H844&lt;30,"Young Adult",
  H844&lt;50,"Adult",
  H844&gt;=50,"Senior"
)</f>
        <v>Young Adult</v>
      </c>
      <c r="J844" s="4" t="s">
        <v>16</v>
      </c>
      <c r="K844" s="4">
        <v>3</v>
      </c>
      <c r="L844" s="5">
        <v>500</v>
      </c>
      <c r="M844" s="5">
        <f xml:space="preserve"> K844*L844</f>
        <v>1500</v>
      </c>
      <c r="N844" s="14">
        <f xml:space="preserve"> M844 * $Q$3</f>
        <v>22.5</v>
      </c>
      <c r="O844" s="5"/>
    </row>
    <row r="845" spans="1:15">
      <c r="A845" s="2">
        <v>844</v>
      </c>
      <c r="B845" s="4">
        <f>DAY(E845)</f>
        <v>12</v>
      </c>
      <c r="C845" s="4">
        <f>MONTH(E845)</f>
        <v>10</v>
      </c>
      <c r="D845" s="4">
        <f>YEAR(E845)</f>
        <v>2023</v>
      </c>
      <c r="E845" s="3">
        <v>45211</v>
      </c>
      <c r="F845" s="4" t="s">
        <v>867</v>
      </c>
      <c r="G845" s="4" t="s">
        <v>15</v>
      </c>
      <c r="H845" s="4">
        <v>35</v>
      </c>
      <c r="I845" s="4" t="str" cm="1">
        <f t="array" ref="I845">_xlfn.IFS(
  H845&lt;30,"Young Adult",
  H845&lt;50,"Adult",
  H845&gt;=50,"Senior"
)</f>
        <v>Adult</v>
      </c>
      <c r="J845" s="4" t="s">
        <v>20</v>
      </c>
      <c r="K845" s="4">
        <v>3</v>
      </c>
      <c r="L845" s="5">
        <v>50</v>
      </c>
      <c r="M845" s="5">
        <f xml:space="preserve"> K845*L845</f>
        <v>150</v>
      </c>
      <c r="N845" s="14">
        <f xml:space="preserve"> M845 * $Q$3</f>
        <v>2.25</v>
      </c>
      <c r="O845" s="5"/>
    </row>
    <row r="846" spans="1:15">
      <c r="A846" s="2">
        <v>845</v>
      </c>
      <c r="B846" s="4">
        <f>DAY(E846)</f>
        <v>6</v>
      </c>
      <c r="C846" s="4">
        <f>MONTH(E846)</f>
        <v>1</v>
      </c>
      <c r="D846" s="4">
        <f>YEAR(E846)</f>
        <v>2023</v>
      </c>
      <c r="E846" s="3">
        <v>44932</v>
      </c>
      <c r="F846" s="4" t="s">
        <v>868</v>
      </c>
      <c r="G846" s="4" t="s">
        <v>15</v>
      </c>
      <c r="H846" s="4">
        <v>54</v>
      </c>
      <c r="I846" s="4" t="str" cm="1">
        <f t="array" ref="I846">_xlfn.IFS(
  H846&lt;30,"Young Adult",
  H846&lt;50,"Adult",
  H846&gt;=50,"Senior"
)</f>
        <v>Senior</v>
      </c>
      <c r="J846" s="4" t="s">
        <v>20</v>
      </c>
      <c r="K846" s="4">
        <v>1</v>
      </c>
      <c r="L846" s="5">
        <v>500</v>
      </c>
      <c r="M846" s="5">
        <f xml:space="preserve"> K846*L846</f>
        <v>500</v>
      </c>
      <c r="N846" s="14">
        <f xml:space="preserve"> M846 * $Q$3</f>
        <v>7.5</v>
      </c>
      <c r="O846" s="5"/>
    </row>
    <row r="847" spans="1:15">
      <c r="A847" s="2">
        <v>846</v>
      </c>
      <c r="B847" s="4">
        <f>DAY(E847)</f>
        <v>22</v>
      </c>
      <c r="C847" s="4">
        <f>MONTH(E847)</f>
        <v>9</v>
      </c>
      <c r="D847" s="4">
        <f>YEAR(E847)</f>
        <v>2023</v>
      </c>
      <c r="E847" s="3">
        <v>45191</v>
      </c>
      <c r="F847" s="4" t="s">
        <v>869</v>
      </c>
      <c r="G847" s="4" t="s">
        <v>15</v>
      </c>
      <c r="H847" s="4">
        <v>42</v>
      </c>
      <c r="I847" s="4" t="str" cm="1">
        <f t="array" ref="I847">_xlfn.IFS(
  H847&lt;30,"Young Adult",
  H847&lt;50,"Adult",
  H847&gt;=50,"Senior"
)</f>
        <v>Adult</v>
      </c>
      <c r="J847" s="4" t="s">
        <v>16</v>
      </c>
      <c r="K847" s="4">
        <v>1</v>
      </c>
      <c r="L847" s="5">
        <v>50</v>
      </c>
      <c r="M847" s="5">
        <f xml:space="preserve"> K847*L847</f>
        <v>50</v>
      </c>
      <c r="N847" s="14">
        <f xml:space="preserve"> M847 * $Q$3</f>
        <v>0.75</v>
      </c>
      <c r="O847" s="5"/>
    </row>
    <row r="848" spans="1:15">
      <c r="A848" s="2">
        <v>847</v>
      </c>
      <c r="B848" s="4">
        <f>DAY(E848)</f>
        <v>8</v>
      </c>
      <c r="C848" s="4">
        <f>MONTH(E848)</f>
        <v>4</v>
      </c>
      <c r="D848" s="4">
        <f>YEAR(E848)</f>
        <v>2023</v>
      </c>
      <c r="E848" s="17">
        <v>45024</v>
      </c>
      <c r="F848" s="4" t="s">
        <v>870</v>
      </c>
      <c r="G848" s="4" t="s">
        <v>19</v>
      </c>
      <c r="H848" s="4">
        <v>18</v>
      </c>
      <c r="I848" s="4" t="str" cm="1">
        <f t="array" ref="I848">_xlfn.IFS(
  H848&lt;30,"Young Adult",
  H848&lt;50,"Adult",
  H848&gt;=50,"Senior"
)</f>
        <v>Young Adult</v>
      </c>
      <c r="J848" s="4" t="s">
        <v>23</v>
      </c>
      <c r="K848" s="4">
        <v>4</v>
      </c>
      <c r="L848" s="5">
        <v>300</v>
      </c>
      <c r="M848" s="5">
        <f xml:space="preserve"> K848*L848</f>
        <v>1200</v>
      </c>
      <c r="N848" s="14">
        <f xml:space="preserve"> M848 * $Q$3</f>
        <v>18</v>
      </c>
      <c r="O848" s="5"/>
    </row>
    <row r="849" spans="1:15">
      <c r="A849" s="2">
        <v>848</v>
      </c>
      <c r="B849" s="4">
        <f>DAY(E849)</f>
        <v>13</v>
      </c>
      <c r="C849" s="4">
        <f>MONTH(E849)</f>
        <v>2</v>
      </c>
      <c r="D849" s="4">
        <f>YEAR(E849)</f>
        <v>2023</v>
      </c>
      <c r="E849" s="3">
        <v>44970</v>
      </c>
      <c r="F849" s="4" t="s">
        <v>871</v>
      </c>
      <c r="G849" s="4" t="s">
        <v>19</v>
      </c>
      <c r="H849" s="4">
        <v>63</v>
      </c>
      <c r="I849" s="4" t="str" cm="1">
        <f t="array" ref="I849">_xlfn.IFS(
  H849&lt;30,"Young Adult",
  H849&lt;50,"Adult",
  H849&gt;=50,"Senior"
)</f>
        <v>Senior</v>
      </c>
      <c r="J849" s="4" t="s">
        <v>20</v>
      </c>
      <c r="K849" s="4">
        <v>3</v>
      </c>
      <c r="L849" s="5">
        <v>25</v>
      </c>
      <c r="M849" s="5">
        <f xml:space="preserve"> K849*L849</f>
        <v>75</v>
      </c>
      <c r="N849" s="14">
        <f xml:space="preserve"> M849 * $Q$3</f>
        <v>1.125</v>
      </c>
      <c r="O849" s="5"/>
    </row>
    <row r="850" spans="1:15">
      <c r="A850" s="2">
        <v>849</v>
      </c>
      <c r="B850" s="4">
        <f>DAY(E850)</f>
        <v>4</v>
      </c>
      <c r="C850" s="4">
        <f>MONTH(E850)</f>
        <v>5</v>
      </c>
      <c r="D850" s="4">
        <f>YEAR(E850)</f>
        <v>2023</v>
      </c>
      <c r="E850" s="17">
        <v>45050</v>
      </c>
      <c r="F850" s="4" t="s">
        <v>872</v>
      </c>
      <c r="G850" s="4" t="s">
        <v>15</v>
      </c>
      <c r="H850" s="4">
        <v>32</v>
      </c>
      <c r="I850" s="4" t="str" cm="1">
        <f t="array" ref="I850">_xlfn.IFS(
  H850&lt;30,"Young Adult",
  H850&lt;50,"Adult",
  H850&gt;=50,"Senior"
)</f>
        <v>Adult</v>
      </c>
      <c r="J850" s="4" t="s">
        <v>20</v>
      </c>
      <c r="K850" s="4">
        <v>2</v>
      </c>
      <c r="L850" s="5">
        <v>25</v>
      </c>
      <c r="M850" s="5">
        <f xml:space="preserve"> K850*L850</f>
        <v>50</v>
      </c>
      <c r="N850" s="14">
        <f xml:space="preserve"> M850 * $Q$3</f>
        <v>0.75</v>
      </c>
      <c r="O850" s="5"/>
    </row>
    <row r="851" spans="1:15">
      <c r="A851" s="2">
        <v>850</v>
      </c>
      <c r="B851" s="4">
        <f>DAY(E851)</f>
        <v>28</v>
      </c>
      <c r="C851" s="4">
        <f>MONTH(E851)</f>
        <v>7</v>
      </c>
      <c r="D851" s="4">
        <f>YEAR(E851)</f>
        <v>2023</v>
      </c>
      <c r="E851" s="3">
        <v>45135</v>
      </c>
      <c r="F851" s="4" t="s">
        <v>873</v>
      </c>
      <c r="G851" s="4" t="s">
        <v>19</v>
      </c>
      <c r="H851" s="4">
        <v>26</v>
      </c>
      <c r="I851" s="4" t="str" cm="1">
        <f t="array" ref="I851">_xlfn.IFS(
  H851&lt;30,"Young Adult",
  H851&lt;50,"Adult",
  H851&gt;=50,"Senior"
)</f>
        <v>Young Adult</v>
      </c>
      <c r="J851" s="4" t="s">
        <v>16</v>
      </c>
      <c r="K851" s="4">
        <v>2</v>
      </c>
      <c r="L851" s="5">
        <v>500</v>
      </c>
      <c r="M851" s="5">
        <f xml:space="preserve"> K851*L851</f>
        <v>1000</v>
      </c>
      <c r="N851" s="14">
        <f xml:space="preserve"> M851 * $Q$3</f>
        <v>15</v>
      </c>
      <c r="O851" s="5"/>
    </row>
    <row r="852" spans="1:15">
      <c r="A852" s="2">
        <v>851</v>
      </c>
      <c r="B852" s="4">
        <f>DAY(E852)</f>
        <v>8</v>
      </c>
      <c r="C852" s="4">
        <f>MONTH(E852)</f>
        <v>9</v>
      </c>
      <c r="D852" s="4">
        <f>YEAR(E852)</f>
        <v>2023</v>
      </c>
      <c r="E852" s="3">
        <v>45177</v>
      </c>
      <c r="F852" s="4" t="s">
        <v>874</v>
      </c>
      <c r="G852" s="4" t="s">
        <v>15</v>
      </c>
      <c r="H852" s="4">
        <v>32</v>
      </c>
      <c r="I852" s="4" t="str" cm="1">
        <f t="array" ref="I852">_xlfn.IFS(
  H852&lt;30,"Young Adult",
  H852&lt;50,"Adult",
  H852&gt;=50,"Senior"
)</f>
        <v>Adult</v>
      </c>
      <c r="J852" s="4" t="s">
        <v>23</v>
      </c>
      <c r="K852" s="4">
        <v>2</v>
      </c>
      <c r="L852" s="5">
        <v>25</v>
      </c>
      <c r="M852" s="5">
        <f xml:space="preserve"> K852*L852</f>
        <v>50</v>
      </c>
      <c r="N852" s="14">
        <f xml:space="preserve"> M852 * $Q$3</f>
        <v>0.75</v>
      </c>
      <c r="O852" s="5"/>
    </row>
    <row r="853" spans="1:15">
      <c r="A853" s="2">
        <v>852</v>
      </c>
      <c r="B853" s="4">
        <f>DAY(E853)</f>
        <v>12</v>
      </c>
      <c r="C853" s="4">
        <f>MONTH(E853)</f>
        <v>10</v>
      </c>
      <c r="D853" s="4">
        <f>YEAR(E853)</f>
        <v>2023</v>
      </c>
      <c r="E853" s="3">
        <v>45211</v>
      </c>
      <c r="F853" s="4" t="s">
        <v>875</v>
      </c>
      <c r="G853" s="4" t="s">
        <v>19</v>
      </c>
      <c r="H853" s="4">
        <v>41</v>
      </c>
      <c r="I853" s="4" t="str" cm="1">
        <f t="array" ref="I853">_xlfn.IFS(
  H853&lt;30,"Young Adult",
  H853&lt;50,"Adult",
  H853&gt;=50,"Senior"
)</f>
        <v>Adult</v>
      </c>
      <c r="J853" s="4" t="s">
        <v>20</v>
      </c>
      <c r="K853" s="4">
        <v>1</v>
      </c>
      <c r="L853" s="5">
        <v>300</v>
      </c>
      <c r="M853" s="5">
        <f xml:space="preserve"> K853*L853</f>
        <v>300</v>
      </c>
      <c r="N853" s="14">
        <f xml:space="preserve"> M853 * $Q$3</f>
        <v>4.5</v>
      </c>
      <c r="O853" s="5"/>
    </row>
    <row r="854" spans="1:15">
      <c r="A854" s="2">
        <v>853</v>
      </c>
      <c r="B854" s="4">
        <f>DAY(E854)</f>
        <v>4</v>
      </c>
      <c r="C854" s="4">
        <f>MONTH(E854)</f>
        <v>5</v>
      </c>
      <c r="D854" s="4">
        <f>YEAR(E854)</f>
        <v>2023</v>
      </c>
      <c r="E854" s="17">
        <v>45050</v>
      </c>
      <c r="F854" s="4" t="s">
        <v>876</v>
      </c>
      <c r="G854" s="4" t="s">
        <v>15</v>
      </c>
      <c r="H854" s="4">
        <v>21</v>
      </c>
      <c r="I854" s="4" t="str" cm="1">
        <f t="array" ref="I854">_xlfn.IFS(
  H854&lt;30,"Young Adult",
  H854&lt;50,"Adult",
  H854&gt;=50,"Senior"
)</f>
        <v>Young Adult</v>
      </c>
      <c r="J854" s="4" t="s">
        <v>16</v>
      </c>
      <c r="K854" s="4">
        <v>2</v>
      </c>
      <c r="L854" s="5">
        <v>500</v>
      </c>
      <c r="M854" s="5">
        <f xml:space="preserve"> K854*L854</f>
        <v>1000</v>
      </c>
      <c r="N854" s="14">
        <f xml:space="preserve"> M854 * $Q$3</f>
        <v>15</v>
      </c>
      <c r="O854" s="5"/>
    </row>
    <row r="855" spans="1:15">
      <c r="A855" s="2">
        <v>854</v>
      </c>
      <c r="B855" s="4">
        <f>DAY(E855)</f>
        <v>20</v>
      </c>
      <c r="C855" s="4">
        <f>MONTH(E855)</f>
        <v>12</v>
      </c>
      <c r="D855" s="4">
        <f>YEAR(E855)</f>
        <v>2023</v>
      </c>
      <c r="E855" s="3">
        <v>45280</v>
      </c>
      <c r="F855" s="4" t="s">
        <v>877</v>
      </c>
      <c r="G855" s="4" t="s">
        <v>15</v>
      </c>
      <c r="H855" s="4">
        <v>29</v>
      </c>
      <c r="I855" s="4" t="str" cm="1">
        <f t="array" ref="I855">_xlfn.IFS(
  H855&lt;30,"Young Adult",
  H855&lt;50,"Adult",
  H855&gt;=50,"Senior"
)</f>
        <v>Young Adult</v>
      </c>
      <c r="J855" s="4" t="s">
        <v>20</v>
      </c>
      <c r="K855" s="4">
        <v>1</v>
      </c>
      <c r="L855" s="5">
        <v>50</v>
      </c>
      <c r="M855" s="5">
        <f xml:space="preserve"> K855*L855</f>
        <v>50</v>
      </c>
      <c r="N855" s="14">
        <f xml:space="preserve"> M855 * $Q$3</f>
        <v>0.75</v>
      </c>
      <c r="O855" s="5"/>
    </row>
    <row r="856" spans="1:15">
      <c r="A856" s="2">
        <v>855</v>
      </c>
      <c r="B856" s="4">
        <f>DAY(E856)</f>
        <v>1</v>
      </c>
      <c r="C856" s="4">
        <f>MONTH(E856)</f>
        <v>9</v>
      </c>
      <c r="D856" s="4">
        <f>YEAR(E856)</f>
        <v>2023</v>
      </c>
      <c r="E856" s="3">
        <v>45170</v>
      </c>
      <c r="F856" s="4" t="s">
        <v>878</v>
      </c>
      <c r="G856" s="4" t="s">
        <v>15</v>
      </c>
      <c r="H856" s="4">
        <v>54</v>
      </c>
      <c r="I856" s="4" t="str" cm="1">
        <f t="array" ref="I856">_xlfn.IFS(
  H856&lt;30,"Young Adult",
  H856&lt;50,"Adult",
  H856&gt;=50,"Senior"
)</f>
        <v>Senior</v>
      </c>
      <c r="J856" s="4" t="s">
        <v>16</v>
      </c>
      <c r="K856" s="4">
        <v>1</v>
      </c>
      <c r="L856" s="5">
        <v>25</v>
      </c>
      <c r="M856" s="5">
        <f xml:space="preserve"> K856*L856</f>
        <v>25</v>
      </c>
      <c r="N856" s="14">
        <f xml:space="preserve"> M856 * $Q$3</f>
        <v>0.375</v>
      </c>
      <c r="O856" s="5"/>
    </row>
    <row r="857" spans="1:15">
      <c r="A857" s="2">
        <v>856</v>
      </c>
      <c r="B857" s="4">
        <f>DAY(E857)</f>
        <v>27</v>
      </c>
      <c r="C857" s="4">
        <f>MONTH(E857)</f>
        <v>11</v>
      </c>
      <c r="D857" s="4">
        <f>YEAR(E857)</f>
        <v>2023</v>
      </c>
      <c r="E857" s="3">
        <v>45257</v>
      </c>
      <c r="F857" s="4" t="s">
        <v>879</v>
      </c>
      <c r="G857" s="4" t="s">
        <v>15</v>
      </c>
      <c r="H857" s="4">
        <v>54</v>
      </c>
      <c r="I857" s="4" t="str" cm="1">
        <f t="array" ref="I857">_xlfn.IFS(
  H857&lt;30,"Young Adult",
  H857&lt;50,"Adult",
  H857&gt;=50,"Senior"
)</f>
        <v>Senior</v>
      </c>
      <c r="J857" s="4" t="s">
        <v>23</v>
      </c>
      <c r="K857" s="4">
        <v>4</v>
      </c>
      <c r="L857" s="5">
        <v>30</v>
      </c>
      <c r="M857" s="5">
        <f xml:space="preserve"> K857*L857</f>
        <v>120</v>
      </c>
      <c r="N857" s="14">
        <f xml:space="preserve"> M857 * $Q$3</f>
        <v>1.7999999999999998</v>
      </c>
      <c r="O857" s="5"/>
    </row>
    <row r="858" spans="1:15">
      <c r="A858" s="2">
        <v>857</v>
      </c>
      <c r="B858" s="4">
        <f>DAY(E858)</f>
        <v>31</v>
      </c>
      <c r="C858" s="4">
        <f>MONTH(E858)</f>
        <v>12</v>
      </c>
      <c r="D858" s="4">
        <f>YEAR(E858)</f>
        <v>2023</v>
      </c>
      <c r="E858" s="3">
        <v>45291</v>
      </c>
      <c r="F858" s="4" t="s">
        <v>880</v>
      </c>
      <c r="G858" s="4" t="s">
        <v>15</v>
      </c>
      <c r="H858" s="4">
        <v>60</v>
      </c>
      <c r="I858" s="4" t="str" cm="1">
        <f t="array" ref="I858">_xlfn.IFS(
  H858&lt;30,"Young Adult",
  H858&lt;50,"Adult",
  H858&gt;=50,"Senior"
)</f>
        <v>Senior</v>
      </c>
      <c r="J858" s="4" t="s">
        <v>23</v>
      </c>
      <c r="K858" s="4">
        <v>2</v>
      </c>
      <c r="L858" s="5">
        <v>25</v>
      </c>
      <c r="M858" s="5">
        <f xml:space="preserve"> K858*L858</f>
        <v>50</v>
      </c>
      <c r="N858" s="14">
        <f xml:space="preserve"> M858 * $Q$3</f>
        <v>0.75</v>
      </c>
      <c r="O858" s="5"/>
    </row>
    <row r="859" spans="1:15">
      <c r="A859" s="2">
        <v>858</v>
      </c>
      <c r="B859" s="4">
        <f>DAY(E859)</f>
        <v>9</v>
      </c>
      <c r="C859" s="4">
        <f>MONTH(E859)</f>
        <v>9</v>
      </c>
      <c r="D859" s="4">
        <f>YEAR(E859)</f>
        <v>2023</v>
      </c>
      <c r="E859" s="3">
        <v>45178</v>
      </c>
      <c r="F859" s="4" t="s">
        <v>881</v>
      </c>
      <c r="G859" s="4" t="s">
        <v>15</v>
      </c>
      <c r="H859" s="4">
        <v>23</v>
      </c>
      <c r="I859" s="4" t="str" cm="1">
        <f t="array" ref="I859">_xlfn.IFS(
  H859&lt;30,"Young Adult",
  H859&lt;50,"Adult",
  H859&gt;=50,"Senior"
)</f>
        <v>Young Adult</v>
      </c>
      <c r="J859" s="4" t="s">
        <v>23</v>
      </c>
      <c r="K859" s="4">
        <v>2</v>
      </c>
      <c r="L859" s="5">
        <v>50</v>
      </c>
      <c r="M859" s="5">
        <f xml:space="preserve"> K859*L859</f>
        <v>100</v>
      </c>
      <c r="N859" s="14">
        <f xml:space="preserve"> M859 * $Q$3</f>
        <v>1.5</v>
      </c>
      <c r="O859" s="5"/>
    </row>
    <row r="860" spans="1:15">
      <c r="A860" s="2">
        <v>859</v>
      </c>
      <c r="B860" s="4">
        <f>DAY(E860)</f>
        <v>18</v>
      </c>
      <c r="C860" s="4">
        <f>MONTH(E860)</f>
        <v>8</v>
      </c>
      <c r="D860" s="4">
        <f>YEAR(E860)</f>
        <v>2023</v>
      </c>
      <c r="E860" s="3">
        <v>45156</v>
      </c>
      <c r="F860" s="4" t="s">
        <v>882</v>
      </c>
      <c r="G860" s="4" t="s">
        <v>19</v>
      </c>
      <c r="H860" s="4">
        <v>56</v>
      </c>
      <c r="I860" s="4" t="str" cm="1">
        <f t="array" ref="I860">_xlfn.IFS(
  H860&lt;30,"Young Adult",
  H860&lt;50,"Adult",
  H860&gt;=50,"Senior"
)</f>
        <v>Senior</v>
      </c>
      <c r="J860" s="4" t="s">
        <v>23</v>
      </c>
      <c r="K860" s="4">
        <v>3</v>
      </c>
      <c r="L860" s="5">
        <v>500</v>
      </c>
      <c r="M860" s="5">
        <f xml:space="preserve"> K860*L860</f>
        <v>1500</v>
      </c>
      <c r="N860" s="14">
        <f xml:space="preserve"> M860 * $Q$3</f>
        <v>22.5</v>
      </c>
      <c r="O860" s="5"/>
    </row>
    <row r="861" spans="1:15">
      <c r="A861" s="2">
        <v>860</v>
      </c>
      <c r="B861" s="4">
        <f>DAY(E861)</f>
        <v>9</v>
      </c>
      <c r="C861" s="4">
        <f>MONTH(E861)</f>
        <v>1</v>
      </c>
      <c r="D861" s="4">
        <f>YEAR(E861)</f>
        <v>2023</v>
      </c>
      <c r="E861" s="3">
        <v>44935</v>
      </c>
      <c r="F861" s="4" t="s">
        <v>883</v>
      </c>
      <c r="G861" s="4" t="s">
        <v>15</v>
      </c>
      <c r="H861" s="4">
        <v>63</v>
      </c>
      <c r="I861" s="4" t="str" cm="1">
        <f t="array" ref="I861">_xlfn.IFS(
  H861&lt;30,"Young Adult",
  H861&lt;50,"Adult",
  H861&gt;=50,"Senior"
)</f>
        <v>Senior</v>
      </c>
      <c r="J861" s="4" t="s">
        <v>20</v>
      </c>
      <c r="K861" s="4">
        <v>4</v>
      </c>
      <c r="L861" s="5">
        <v>50</v>
      </c>
      <c r="M861" s="5">
        <f xml:space="preserve"> K861*L861</f>
        <v>200</v>
      </c>
      <c r="N861" s="14">
        <f xml:space="preserve"> M861 * $Q$3</f>
        <v>3</v>
      </c>
      <c r="O861" s="5"/>
    </row>
    <row r="862" spans="1:15">
      <c r="A862" s="2">
        <v>861</v>
      </c>
      <c r="B862" s="4">
        <f>DAY(E862)</f>
        <v>17</v>
      </c>
      <c r="C862" s="4">
        <f>MONTH(E862)</f>
        <v>2</v>
      </c>
      <c r="D862" s="4">
        <f>YEAR(E862)</f>
        <v>2023</v>
      </c>
      <c r="E862" s="3">
        <v>44974</v>
      </c>
      <c r="F862" s="4" t="s">
        <v>884</v>
      </c>
      <c r="G862" s="4" t="s">
        <v>19</v>
      </c>
      <c r="H862" s="4">
        <v>41</v>
      </c>
      <c r="I862" s="4" t="str" cm="1">
        <f t="array" ref="I862">_xlfn.IFS(
  H862&lt;30,"Young Adult",
  H862&lt;50,"Adult",
  H862&gt;=50,"Senior"
)</f>
        <v>Adult</v>
      </c>
      <c r="J862" s="4" t="s">
        <v>20</v>
      </c>
      <c r="K862" s="4">
        <v>3</v>
      </c>
      <c r="L862" s="5">
        <v>30</v>
      </c>
      <c r="M862" s="5">
        <f xml:space="preserve"> K862*L862</f>
        <v>90</v>
      </c>
      <c r="N862" s="14">
        <f xml:space="preserve"> M862 * $Q$3</f>
        <v>1.3499999999999999</v>
      </c>
      <c r="O862" s="5"/>
    </row>
    <row r="863" spans="1:15">
      <c r="A863" s="2">
        <v>862</v>
      </c>
      <c r="B863" s="4">
        <f>DAY(E863)</f>
        <v>31</v>
      </c>
      <c r="C863" s="4">
        <f>MONTH(E863)</f>
        <v>5</v>
      </c>
      <c r="D863" s="4">
        <f>YEAR(E863)</f>
        <v>2023</v>
      </c>
      <c r="E863" s="17">
        <v>45077</v>
      </c>
      <c r="F863" s="4" t="s">
        <v>885</v>
      </c>
      <c r="G863" s="4" t="s">
        <v>15</v>
      </c>
      <c r="H863" s="4">
        <v>28</v>
      </c>
      <c r="I863" s="4" t="str" cm="1">
        <f t="array" ref="I863">_xlfn.IFS(
  H863&lt;30,"Young Adult",
  H863&lt;50,"Adult",
  H863&gt;=50,"Senior"
)</f>
        <v>Young Adult</v>
      </c>
      <c r="J863" s="4" t="s">
        <v>23</v>
      </c>
      <c r="K863" s="4">
        <v>4</v>
      </c>
      <c r="L863" s="5">
        <v>300</v>
      </c>
      <c r="M863" s="5">
        <f xml:space="preserve"> K863*L863</f>
        <v>1200</v>
      </c>
      <c r="N863" s="14">
        <f xml:space="preserve"> M863 * $Q$3</f>
        <v>18</v>
      </c>
      <c r="O863" s="5"/>
    </row>
    <row r="864" spans="1:15">
      <c r="A864" s="2">
        <v>863</v>
      </c>
      <c r="B864" s="4">
        <f>DAY(E864)</f>
        <v>24</v>
      </c>
      <c r="C864" s="4">
        <f>MONTH(E864)</f>
        <v>4</v>
      </c>
      <c r="D864" s="4">
        <f>YEAR(E864)</f>
        <v>2023</v>
      </c>
      <c r="E864" s="17">
        <v>45040</v>
      </c>
      <c r="F864" s="4" t="s">
        <v>886</v>
      </c>
      <c r="G864" s="4" t="s">
        <v>19</v>
      </c>
      <c r="H864" s="4">
        <v>30</v>
      </c>
      <c r="I864" s="4" t="str" cm="1">
        <f t="array" ref="I864">_xlfn.IFS(
  H864&lt;30,"Young Adult",
  H864&lt;50,"Adult",
  H864&gt;=50,"Senior"
)</f>
        <v>Adult</v>
      </c>
      <c r="J864" s="4" t="s">
        <v>23</v>
      </c>
      <c r="K864" s="4">
        <v>2</v>
      </c>
      <c r="L864" s="5">
        <v>25</v>
      </c>
      <c r="M864" s="5">
        <f xml:space="preserve"> K864*L864</f>
        <v>50</v>
      </c>
      <c r="N864" s="14">
        <f xml:space="preserve"> M864 * $Q$3</f>
        <v>0.75</v>
      </c>
      <c r="O864" s="5"/>
    </row>
    <row r="865" spans="1:15">
      <c r="A865" s="2">
        <v>864</v>
      </c>
      <c r="B865" s="4">
        <f>DAY(E865)</f>
        <v>27</v>
      </c>
      <c r="C865" s="4">
        <f>MONTH(E865)</f>
        <v>7</v>
      </c>
      <c r="D865" s="4">
        <f>YEAR(E865)</f>
        <v>2023</v>
      </c>
      <c r="E865" s="3">
        <v>45134</v>
      </c>
      <c r="F865" s="4" t="s">
        <v>887</v>
      </c>
      <c r="G865" s="4" t="s">
        <v>19</v>
      </c>
      <c r="H865" s="4">
        <v>51</v>
      </c>
      <c r="I865" s="4" t="str" cm="1">
        <f t="array" ref="I865">_xlfn.IFS(
  H865&lt;30,"Young Adult",
  H865&lt;50,"Adult",
  H865&gt;=50,"Senior"
)</f>
        <v>Senior</v>
      </c>
      <c r="J865" s="4" t="s">
        <v>23</v>
      </c>
      <c r="K865" s="4">
        <v>1</v>
      </c>
      <c r="L865" s="5">
        <v>500</v>
      </c>
      <c r="M865" s="5">
        <f xml:space="preserve"> K865*L865</f>
        <v>500</v>
      </c>
      <c r="N865" s="14">
        <f xml:space="preserve"> M865 * $Q$3</f>
        <v>7.5</v>
      </c>
      <c r="O865" s="5"/>
    </row>
    <row r="866" spans="1:15">
      <c r="A866" s="2">
        <v>865</v>
      </c>
      <c r="B866" s="4">
        <f>DAY(E866)</f>
        <v>21</v>
      </c>
      <c r="C866" s="4">
        <f>MONTH(E866)</f>
        <v>12</v>
      </c>
      <c r="D866" s="4">
        <f>YEAR(E866)</f>
        <v>2023</v>
      </c>
      <c r="E866" s="3">
        <v>45281</v>
      </c>
      <c r="F866" s="4" t="s">
        <v>888</v>
      </c>
      <c r="G866" s="4" t="s">
        <v>19</v>
      </c>
      <c r="H866" s="4">
        <v>42</v>
      </c>
      <c r="I866" s="4" t="str" cm="1">
        <f t="array" ref="I866">_xlfn.IFS(
  H866&lt;30,"Young Adult",
  H866&lt;50,"Adult",
  H866&gt;=50,"Senior"
)</f>
        <v>Adult</v>
      </c>
      <c r="J866" s="4" t="s">
        <v>20</v>
      </c>
      <c r="K866" s="4">
        <v>1</v>
      </c>
      <c r="L866" s="5">
        <v>300</v>
      </c>
      <c r="M866" s="5">
        <f xml:space="preserve"> K866*L866</f>
        <v>300</v>
      </c>
      <c r="N866" s="14">
        <f xml:space="preserve"> M866 * $Q$3</f>
        <v>4.5</v>
      </c>
      <c r="O866" s="5"/>
    </row>
    <row r="867" spans="1:15">
      <c r="A867" s="2">
        <v>866</v>
      </c>
      <c r="B867" s="4">
        <f>DAY(E867)</f>
        <v>5</v>
      </c>
      <c r="C867" s="4">
        <f>MONTH(E867)</f>
        <v>5</v>
      </c>
      <c r="D867" s="4">
        <f>YEAR(E867)</f>
        <v>2023</v>
      </c>
      <c r="E867" s="17">
        <v>45051</v>
      </c>
      <c r="F867" s="4" t="s">
        <v>889</v>
      </c>
      <c r="G867" s="4" t="s">
        <v>15</v>
      </c>
      <c r="H867" s="4">
        <v>24</v>
      </c>
      <c r="I867" s="4" t="str" cm="1">
        <f t="array" ref="I867">_xlfn.IFS(
  H867&lt;30,"Young Adult",
  H867&lt;50,"Adult",
  H867&gt;=50,"Senior"
)</f>
        <v>Young Adult</v>
      </c>
      <c r="J867" s="4" t="s">
        <v>23</v>
      </c>
      <c r="K867" s="4">
        <v>1</v>
      </c>
      <c r="L867" s="5">
        <v>50</v>
      </c>
      <c r="M867" s="5">
        <f xml:space="preserve"> K867*L867</f>
        <v>50</v>
      </c>
      <c r="N867" s="14">
        <f xml:space="preserve"> M867 * $Q$3</f>
        <v>0.75</v>
      </c>
      <c r="O867" s="5"/>
    </row>
    <row r="868" spans="1:15">
      <c r="A868" s="2">
        <v>867</v>
      </c>
      <c r="B868" s="4">
        <f>DAY(E868)</f>
        <v>6</v>
      </c>
      <c r="C868" s="4">
        <f>MONTH(E868)</f>
        <v>6</v>
      </c>
      <c r="D868" s="4">
        <f>YEAR(E868)</f>
        <v>2023</v>
      </c>
      <c r="E868" s="3">
        <v>45083</v>
      </c>
      <c r="F868" s="4" t="s">
        <v>890</v>
      </c>
      <c r="G868" s="4" t="s">
        <v>15</v>
      </c>
      <c r="H868" s="4">
        <v>21</v>
      </c>
      <c r="I868" s="4" t="str" cm="1">
        <f t="array" ref="I868">_xlfn.IFS(
  H868&lt;30,"Young Adult",
  H868&lt;50,"Adult",
  H868&gt;=50,"Senior"
)</f>
        <v>Young Adult</v>
      </c>
      <c r="J868" s="4" t="s">
        <v>23</v>
      </c>
      <c r="K868" s="4">
        <v>1</v>
      </c>
      <c r="L868" s="5">
        <v>500</v>
      </c>
      <c r="M868" s="5">
        <f xml:space="preserve"> K868*L868</f>
        <v>500</v>
      </c>
      <c r="N868" s="14">
        <f xml:space="preserve"> M868 * $Q$3</f>
        <v>7.5</v>
      </c>
      <c r="O868" s="5"/>
    </row>
    <row r="869" spans="1:15">
      <c r="A869" s="2">
        <v>868</v>
      </c>
      <c r="B869" s="4">
        <f>DAY(E869)</f>
        <v>6</v>
      </c>
      <c r="C869" s="4">
        <f>MONTH(E869)</f>
        <v>12</v>
      </c>
      <c r="D869" s="4">
        <f>YEAR(E869)</f>
        <v>2023</v>
      </c>
      <c r="E869" s="3">
        <v>45266</v>
      </c>
      <c r="F869" s="4" t="s">
        <v>891</v>
      </c>
      <c r="G869" s="4" t="s">
        <v>19</v>
      </c>
      <c r="H869" s="4">
        <v>25</v>
      </c>
      <c r="I869" s="4" t="str" cm="1">
        <f t="array" ref="I869">_xlfn.IFS(
  H869&lt;30,"Young Adult",
  H869&lt;50,"Adult",
  H869&gt;=50,"Senior"
)</f>
        <v>Young Adult</v>
      </c>
      <c r="J869" s="4" t="s">
        <v>23</v>
      </c>
      <c r="K869" s="4">
        <v>1</v>
      </c>
      <c r="L869" s="5">
        <v>300</v>
      </c>
      <c r="M869" s="5">
        <f xml:space="preserve"> K869*L869</f>
        <v>300</v>
      </c>
      <c r="N869" s="14">
        <f xml:space="preserve"> M869 * $Q$3</f>
        <v>4.5</v>
      </c>
      <c r="O869" s="5"/>
    </row>
    <row r="870" spans="1:15">
      <c r="A870" s="2">
        <v>869</v>
      </c>
      <c r="B870" s="4">
        <f>DAY(E870)</f>
        <v>25</v>
      </c>
      <c r="C870" s="4">
        <f>MONTH(E870)</f>
        <v>10</v>
      </c>
      <c r="D870" s="4">
        <f>YEAR(E870)</f>
        <v>2023</v>
      </c>
      <c r="E870" s="3">
        <v>45224</v>
      </c>
      <c r="F870" s="4" t="s">
        <v>892</v>
      </c>
      <c r="G870" s="4" t="s">
        <v>15</v>
      </c>
      <c r="H870" s="4">
        <v>37</v>
      </c>
      <c r="I870" s="4" t="str" cm="1">
        <f t="array" ref="I870">_xlfn.IFS(
  H870&lt;30,"Young Adult",
  H870&lt;50,"Adult",
  H870&gt;=50,"Senior"
)</f>
        <v>Adult</v>
      </c>
      <c r="J870" s="4" t="s">
        <v>16</v>
      </c>
      <c r="K870" s="4">
        <v>3</v>
      </c>
      <c r="L870" s="5">
        <v>500</v>
      </c>
      <c r="M870" s="5">
        <f xml:space="preserve"> K870*L870</f>
        <v>1500</v>
      </c>
      <c r="N870" s="14">
        <f xml:space="preserve"> M870 * $Q$3</f>
        <v>22.5</v>
      </c>
      <c r="O870" s="5"/>
    </row>
    <row r="871" spans="1:15">
      <c r="A871" s="2">
        <v>870</v>
      </c>
      <c r="B871" s="4">
        <f>DAY(E871)</f>
        <v>8</v>
      </c>
      <c r="C871" s="4">
        <f>MONTH(E871)</f>
        <v>7</v>
      </c>
      <c r="D871" s="4">
        <f>YEAR(E871)</f>
        <v>2023</v>
      </c>
      <c r="E871" s="3">
        <v>45115</v>
      </c>
      <c r="F871" s="4" t="s">
        <v>893</v>
      </c>
      <c r="G871" s="4" t="s">
        <v>19</v>
      </c>
      <c r="H871" s="4">
        <v>46</v>
      </c>
      <c r="I871" s="4" t="str" cm="1">
        <f t="array" ref="I871">_xlfn.IFS(
  H871&lt;30,"Young Adult",
  H871&lt;50,"Adult",
  H871&gt;=50,"Senior"
)</f>
        <v>Adult</v>
      </c>
      <c r="J871" s="4" t="s">
        <v>23</v>
      </c>
      <c r="K871" s="4">
        <v>4</v>
      </c>
      <c r="L871" s="5">
        <v>30</v>
      </c>
      <c r="M871" s="5">
        <f xml:space="preserve"> K871*L871</f>
        <v>120</v>
      </c>
      <c r="N871" s="14">
        <f xml:space="preserve"> M871 * $Q$3</f>
        <v>1.7999999999999998</v>
      </c>
      <c r="O871" s="5"/>
    </row>
    <row r="872" spans="1:15">
      <c r="A872" s="2">
        <v>871</v>
      </c>
      <c r="B872" s="4">
        <f>DAY(E872)</f>
        <v>31</v>
      </c>
      <c r="C872" s="4">
        <f>MONTH(E872)</f>
        <v>8</v>
      </c>
      <c r="D872" s="4">
        <f>YEAR(E872)</f>
        <v>2023</v>
      </c>
      <c r="E872" s="3">
        <v>45169</v>
      </c>
      <c r="F872" s="4" t="s">
        <v>894</v>
      </c>
      <c r="G872" s="4" t="s">
        <v>15</v>
      </c>
      <c r="H872" s="4">
        <v>62</v>
      </c>
      <c r="I872" s="4" t="str" cm="1">
        <f t="array" ref="I872">_xlfn.IFS(
  H872&lt;30,"Young Adult",
  H872&lt;50,"Adult",
  H872&gt;=50,"Senior"
)</f>
        <v>Senior</v>
      </c>
      <c r="J872" s="4" t="s">
        <v>16</v>
      </c>
      <c r="K872" s="4">
        <v>2</v>
      </c>
      <c r="L872" s="5">
        <v>30</v>
      </c>
      <c r="M872" s="5">
        <f xml:space="preserve"> K872*L872</f>
        <v>60</v>
      </c>
      <c r="N872" s="14">
        <f xml:space="preserve"> M872 * $Q$3</f>
        <v>0.89999999999999991</v>
      </c>
      <c r="O872" s="5"/>
    </row>
    <row r="873" spans="1:15">
      <c r="A873" s="2">
        <v>872</v>
      </c>
      <c r="B873" s="4">
        <f>DAY(E873)</f>
        <v>11</v>
      </c>
      <c r="C873" s="4">
        <f>MONTH(E873)</f>
        <v>10</v>
      </c>
      <c r="D873" s="4">
        <f>YEAR(E873)</f>
        <v>2023</v>
      </c>
      <c r="E873" s="3">
        <v>45210</v>
      </c>
      <c r="F873" s="4" t="s">
        <v>895</v>
      </c>
      <c r="G873" s="4" t="s">
        <v>19</v>
      </c>
      <c r="H873" s="4">
        <v>63</v>
      </c>
      <c r="I873" s="4" t="str" cm="1">
        <f t="array" ref="I873">_xlfn.IFS(
  H873&lt;30,"Young Adult",
  H873&lt;50,"Adult",
  H873&gt;=50,"Senior"
)</f>
        <v>Senior</v>
      </c>
      <c r="J873" s="4" t="s">
        <v>16</v>
      </c>
      <c r="K873" s="4">
        <v>3</v>
      </c>
      <c r="L873" s="5">
        <v>25</v>
      </c>
      <c r="M873" s="5">
        <f xml:space="preserve"> K873*L873</f>
        <v>75</v>
      </c>
      <c r="N873" s="14">
        <f xml:space="preserve"> M873 * $Q$3</f>
        <v>1.125</v>
      </c>
      <c r="O873" s="5"/>
    </row>
    <row r="874" spans="1:15">
      <c r="A874" s="2">
        <v>873</v>
      </c>
      <c r="B874" s="4">
        <f>DAY(E874)</f>
        <v>29</v>
      </c>
      <c r="C874" s="4">
        <f>MONTH(E874)</f>
        <v>9</v>
      </c>
      <c r="D874" s="4">
        <f>YEAR(E874)</f>
        <v>2023</v>
      </c>
      <c r="E874" s="3">
        <v>45198</v>
      </c>
      <c r="F874" s="4" t="s">
        <v>896</v>
      </c>
      <c r="G874" s="4" t="s">
        <v>19</v>
      </c>
      <c r="H874" s="4">
        <v>27</v>
      </c>
      <c r="I874" s="4" t="str" cm="1">
        <f t="array" ref="I874">_xlfn.IFS(
  H874&lt;30,"Young Adult",
  H874&lt;50,"Adult",
  H874&gt;=50,"Senior"
)</f>
        <v>Young Adult</v>
      </c>
      <c r="J874" s="4" t="s">
        <v>23</v>
      </c>
      <c r="K874" s="4">
        <v>4</v>
      </c>
      <c r="L874" s="5">
        <v>25</v>
      </c>
      <c r="M874" s="5">
        <f xml:space="preserve"> K874*L874</f>
        <v>100</v>
      </c>
      <c r="N874" s="14">
        <f xml:space="preserve"> M874 * $Q$3</f>
        <v>1.5</v>
      </c>
      <c r="O874" s="5"/>
    </row>
    <row r="875" spans="1:15">
      <c r="A875" s="2">
        <v>874</v>
      </c>
      <c r="B875" s="4">
        <f>DAY(E875)</f>
        <v>26</v>
      </c>
      <c r="C875" s="4">
        <f>MONTH(E875)</f>
        <v>6</v>
      </c>
      <c r="D875" s="4">
        <f>YEAR(E875)</f>
        <v>2023</v>
      </c>
      <c r="E875" s="3">
        <v>45103</v>
      </c>
      <c r="F875" s="4" t="s">
        <v>897</v>
      </c>
      <c r="G875" s="4" t="s">
        <v>15</v>
      </c>
      <c r="H875" s="4">
        <v>60</v>
      </c>
      <c r="I875" s="4" t="str" cm="1">
        <f t="array" ref="I875">_xlfn.IFS(
  H875&lt;30,"Young Adult",
  H875&lt;50,"Adult",
  H875&gt;=50,"Senior"
)</f>
        <v>Senior</v>
      </c>
      <c r="J875" s="4" t="s">
        <v>16</v>
      </c>
      <c r="K875" s="4">
        <v>1</v>
      </c>
      <c r="L875" s="5">
        <v>30</v>
      </c>
      <c r="M875" s="5">
        <f xml:space="preserve"> K875*L875</f>
        <v>30</v>
      </c>
      <c r="N875" s="14">
        <f xml:space="preserve"> M875 * $Q$3</f>
        <v>0.44999999999999996</v>
      </c>
      <c r="O875" s="5"/>
    </row>
    <row r="876" spans="1:15">
      <c r="A876" s="2">
        <v>875</v>
      </c>
      <c r="B876" s="4">
        <f>DAY(E876)</f>
        <v>6</v>
      </c>
      <c r="C876" s="4">
        <f>MONTH(E876)</f>
        <v>8</v>
      </c>
      <c r="D876" s="4">
        <f>YEAR(E876)</f>
        <v>2023</v>
      </c>
      <c r="E876" s="3">
        <v>45144</v>
      </c>
      <c r="F876" s="4" t="s">
        <v>898</v>
      </c>
      <c r="G876" s="4" t="s">
        <v>19</v>
      </c>
      <c r="H876" s="4">
        <v>51</v>
      </c>
      <c r="I876" s="4" t="str" cm="1">
        <f t="array" ref="I876">_xlfn.IFS(
  H876&lt;30,"Young Adult",
  H876&lt;50,"Adult",
  H876&gt;=50,"Senior"
)</f>
        <v>Senior</v>
      </c>
      <c r="J876" s="4" t="s">
        <v>23</v>
      </c>
      <c r="K876" s="4">
        <v>4</v>
      </c>
      <c r="L876" s="5">
        <v>500</v>
      </c>
      <c r="M876" s="5">
        <f xml:space="preserve"> K876*L876</f>
        <v>2000</v>
      </c>
      <c r="N876" s="14">
        <f xml:space="preserve"> M876 * $Q$3</f>
        <v>30</v>
      </c>
      <c r="O876" s="5"/>
    </row>
    <row r="877" spans="1:15">
      <c r="A877" s="2">
        <v>876</v>
      </c>
      <c r="B877" s="4">
        <f>DAY(E877)</f>
        <v>9</v>
      </c>
      <c r="C877" s="4">
        <f>MONTH(E877)</f>
        <v>10</v>
      </c>
      <c r="D877" s="4">
        <f>YEAR(E877)</f>
        <v>2023</v>
      </c>
      <c r="E877" s="3">
        <v>45208</v>
      </c>
      <c r="F877" s="4" t="s">
        <v>899</v>
      </c>
      <c r="G877" s="4" t="s">
        <v>15</v>
      </c>
      <c r="H877" s="4">
        <v>43</v>
      </c>
      <c r="I877" s="4" t="str" cm="1">
        <f t="array" ref="I877">_xlfn.IFS(
  H877&lt;30,"Young Adult",
  H877&lt;50,"Adult",
  H877&gt;=50,"Senior"
)</f>
        <v>Adult</v>
      </c>
      <c r="J877" s="4" t="s">
        <v>20</v>
      </c>
      <c r="K877" s="4">
        <v>4</v>
      </c>
      <c r="L877" s="5">
        <v>30</v>
      </c>
      <c r="M877" s="5">
        <f xml:space="preserve"> K877*L877</f>
        <v>120</v>
      </c>
      <c r="N877" s="14">
        <f xml:space="preserve"> M877 * $Q$3</f>
        <v>1.7999999999999998</v>
      </c>
      <c r="O877" s="5"/>
    </row>
    <row r="878" spans="1:15">
      <c r="A878" s="2">
        <v>877</v>
      </c>
      <c r="B878" s="4">
        <f>DAY(E878)</f>
        <v>19</v>
      </c>
      <c r="C878" s="4">
        <f>MONTH(E878)</f>
        <v>6</v>
      </c>
      <c r="D878" s="4">
        <f>YEAR(E878)</f>
        <v>2023</v>
      </c>
      <c r="E878" s="3">
        <v>45096</v>
      </c>
      <c r="F878" s="4" t="s">
        <v>900</v>
      </c>
      <c r="G878" s="4" t="s">
        <v>19</v>
      </c>
      <c r="H878" s="4">
        <v>58</v>
      </c>
      <c r="I878" s="4" t="str" cm="1">
        <f t="array" ref="I878">_xlfn.IFS(
  H878&lt;30,"Young Adult",
  H878&lt;50,"Adult",
  H878&gt;=50,"Senior"
)</f>
        <v>Senior</v>
      </c>
      <c r="J878" s="4" t="s">
        <v>20</v>
      </c>
      <c r="K878" s="4">
        <v>1</v>
      </c>
      <c r="L878" s="5">
        <v>25</v>
      </c>
      <c r="M878" s="5">
        <f xml:space="preserve"> K878*L878</f>
        <v>25</v>
      </c>
      <c r="N878" s="14">
        <f xml:space="preserve"> M878 * $Q$3</f>
        <v>0.375</v>
      </c>
      <c r="O878" s="5"/>
    </row>
    <row r="879" spans="1:15">
      <c r="A879" s="2">
        <v>878</v>
      </c>
      <c r="B879" s="4">
        <f>DAY(E879)</f>
        <v>30</v>
      </c>
      <c r="C879" s="4">
        <f>MONTH(E879)</f>
        <v>6</v>
      </c>
      <c r="D879" s="4">
        <f>YEAR(E879)</f>
        <v>2023</v>
      </c>
      <c r="E879" s="3">
        <v>45107</v>
      </c>
      <c r="F879" s="4" t="s">
        <v>901</v>
      </c>
      <c r="G879" s="4" t="s">
        <v>19</v>
      </c>
      <c r="H879" s="4">
        <v>20</v>
      </c>
      <c r="I879" s="4" t="str" cm="1">
        <f t="array" ref="I879">_xlfn.IFS(
  H879&lt;30,"Young Adult",
  H879&lt;50,"Adult",
  H879&gt;=50,"Senior"
)</f>
        <v>Young Adult</v>
      </c>
      <c r="J879" s="4" t="s">
        <v>20</v>
      </c>
      <c r="K879" s="4">
        <v>1</v>
      </c>
      <c r="L879" s="5">
        <v>30</v>
      </c>
      <c r="M879" s="5">
        <f xml:space="preserve"> K879*L879</f>
        <v>30</v>
      </c>
      <c r="N879" s="14">
        <f xml:space="preserve"> M879 * $Q$3</f>
        <v>0.44999999999999996</v>
      </c>
      <c r="O879" s="5"/>
    </row>
    <row r="880" spans="1:15">
      <c r="A880" s="2">
        <v>879</v>
      </c>
      <c r="B880" s="4">
        <f>DAY(E880)</f>
        <v>26</v>
      </c>
      <c r="C880" s="4">
        <f>MONTH(E880)</f>
        <v>12</v>
      </c>
      <c r="D880" s="4">
        <f>YEAR(E880)</f>
        <v>2023</v>
      </c>
      <c r="E880" s="3">
        <v>45286</v>
      </c>
      <c r="F880" s="4" t="s">
        <v>902</v>
      </c>
      <c r="G880" s="4" t="s">
        <v>15</v>
      </c>
      <c r="H880" s="4">
        <v>23</v>
      </c>
      <c r="I880" s="4" t="str" cm="1">
        <f t="array" ref="I880">_xlfn.IFS(
  H880&lt;30,"Young Adult",
  H880&lt;50,"Adult",
  H880&gt;=50,"Senior"
)</f>
        <v>Young Adult</v>
      </c>
      <c r="J880" s="4" t="s">
        <v>20</v>
      </c>
      <c r="K880" s="4">
        <v>1</v>
      </c>
      <c r="L880" s="5">
        <v>30</v>
      </c>
      <c r="M880" s="5">
        <f xml:space="preserve"> K880*L880</f>
        <v>30</v>
      </c>
      <c r="N880" s="14">
        <f xml:space="preserve"> M880 * $Q$3</f>
        <v>0.44999999999999996</v>
      </c>
      <c r="O880" s="5"/>
    </row>
    <row r="881" spans="1:15">
      <c r="A881" s="2">
        <v>880</v>
      </c>
      <c r="B881" s="4">
        <f>DAY(E881)</f>
        <v>21</v>
      </c>
      <c r="C881" s="4">
        <f>MONTH(E881)</f>
        <v>8</v>
      </c>
      <c r="D881" s="4">
        <f>YEAR(E881)</f>
        <v>2023</v>
      </c>
      <c r="E881" s="3">
        <v>45159</v>
      </c>
      <c r="F881" s="4" t="s">
        <v>903</v>
      </c>
      <c r="G881" s="4" t="s">
        <v>15</v>
      </c>
      <c r="H881" s="4">
        <v>22</v>
      </c>
      <c r="I881" s="4" t="str" cm="1">
        <f t="array" ref="I881">_xlfn.IFS(
  H881&lt;30,"Young Adult",
  H881&lt;50,"Adult",
  H881&gt;=50,"Senior"
)</f>
        <v>Young Adult</v>
      </c>
      <c r="J881" s="4" t="s">
        <v>16</v>
      </c>
      <c r="K881" s="4">
        <v>2</v>
      </c>
      <c r="L881" s="5">
        <v>500</v>
      </c>
      <c r="M881" s="5">
        <f xml:space="preserve"> K881*L881</f>
        <v>1000</v>
      </c>
      <c r="N881" s="14">
        <f xml:space="preserve"> M881 * $Q$3</f>
        <v>15</v>
      </c>
      <c r="O881" s="5"/>
    </row>
    <row r="882" spans="1:15">
      <c r="A882" s="2">
        <v>881</v>
      </c>
      <c r="B882" s="4">
        <f>DAY(E882)</f>
        <v>19</v>
      </c>
      <c r="C882" s="4">
        <f>MONTH(E882)</f>
        <v>5</v>
      </c>
      <c r="D882" s="4">
        <f>YEAR(E882)</f>
        <v>2023</v>
      </c>
      <c r="E882" s="17">
        <v>45065</v>
      </c>
      <c r="F882" s="4" t="s">
        <v>904</v>
      </c>
      <c r="G882" s="4" t="s">
        <v>15</v>
      </c>
      <c r="H882" s="4">
        <v>22</v>
      </c>
      <c r="I882" s="4" t="str" cm="1">
        <f t="array" ref="I882">_xlfn.IFS(
  H882&lt;30,"Young Adult",
  H882&lt;50,"Adult",
  H882&gt;=50,"Senior"
)</f>
        <v>Young Adult</v>
      </c>
      <c r="J882" s="4" t="s">
        <v>23</v>
      </c>
      <c r="K882" s="4">
        <v>1</v>
      </c>
      <c r="L882" s="5">
        <v>300</v>
      </c>
      <c r="M882" s="5">
        <f xml:space="preserve"> K882*L882</f>
        <v>300</v>
      </c>
      <c r="N882" s="14">
        <f xml:space="preserve"> M882 * $Q$3</f>
        <v>4.5</v>
      </c>
      <c r="O882" s="5"/>
    </row>
    <row r="883" spans="1:15">
      <c r="A883" s="2">
        <v>882</v>
      </c>
      <c r="B883" s="4">
        <f>DAY(E883)</f>
        <v>6</v>
      </c>
      <c r="C883" s="4">
        <f>MONTH(E883)</f>
        <v>6</v>
      </c>
      <c r="D883" s="4">
        <f>YEAR(E883)</f>
        <v>2023</v>
      </c>
      <c r="E883" s="3">
        <v>45083</v>
      </c>
      <c r="F883" s="4" t="s">
        <v>905</v>
      </c>
      <c r="G883" s="4" t="s">
        <v>19</v>
      </c>
      <c r="H883" s="4">
        <v>64</v>
      </c>
      <c r="I883" s="4" t="str" cm="1">
        <f t="array" ref="I883">_xlfn.IFS(
  H883&lt;30,"Young Adult",
  H883&lt;50,"Adult",
  H883&gt;=50,"Senior"
)</f>
        <v>Senior</v>
      </c>
      <c r="J883" s="4" t="s">
        <v>23</v>
      </c>
      <c r="K883" s="4">
        <v>2</v>
      </c>
      <c r="L883" s="5">
        <v>25</v>
      </c>
      <c r="M883" s="5">
        <f xml:space="preserve"> K883*L883</f>
        <v>50</v>
      </c>
      <c r="N883" s="14">
        <f xml:space="preserve"> M883 * $Q$3</f>
        <v>0.75</v>
      </c>
      <c r="O883" s="5"/>
    </row>
    <row r="884" spans="1:15">
      <c r="A884" s="2">
        <v>883</v>
      </c>
      <c r="B884" s="4">
        <f>DAY(E884)</f>
        <v>9</v>
      </c>
      <c r="C884" s="4">
        <f>MONTH(E884)</f>
        <v>5</v>
      </c>
      <c r="D884" s="4">
        <f>YEAR(E884)</f>
        <v>2023</v>
      </c>
      <c r="E884" s="17">
        <v>45055</v>
      </c>
      <c r="F884" s="4" t="s">
        <v>906</v>
      </c>
      <c r="G884" s="4" t="s">
        <v>15</v>
      </c>
      <c r="H884" s="4">
        <v>40</v>
      </c>
      <c r="I884" s="4" t="str" cm="1">
        <f t="array" ref="I884">_xlfn.IFS(
  H884&lt;30,"Young Adult",
  H884&lt;50,"Adult",
  H884&gt;=50,"Senior"
)</f>
        <v>Adult</v>
      </c>
      <c r="J884" s="4" t="s">
        <v>23</v>
      </c>
      <c r="K884" s="4">
        <v>1</v>
      </c>
      <c r="L884" s="5">
        <v>500</v>
      </c>
      <c r="M884" s="5">
        <f xml:space="preserve"> K884*L884</f>
        <v>500</v>
      </c>
      <c r="N884" s="14">
        <f xml:space="preserve"> M884 * $Q$3</f>
        <v>7.5</v>
      </c>
      <c r="O884" s="5"/>
    </row>
    <row r="885" spans="1:15">
      <c r="A885" s="2">
        <v>884</v>
      </c>
      <c r="B885" s="4">
        <f>DAY(E885)</f>
        <v>29</v>
      </c>
      <c r="C885" s="4">
        <f>MONTH(E885)</f>
        <v>4</v>
      </c>
      <c r="D885" s="4">
        <f>YEAR(E885)</f>
        <v>2023</v>
      </c>
      <c r="E885" s="17">
        <v>45045</v>
      </c>
      <c r="F885" s="4" t="s">
        <v>907</v>
      </c>
      <c r="G885" s="4" t="s">
        <v>19</v>
      </c>
      <c r="H885" s="4">
        <v>26</v>
      </c>
      <c r="I885" s="4" t="str" cm="1">
        <f t="array" ref="I885">_xlfn.IFS(
  H885&lt;30,"Young Adult",
  H885&lt;50,"Adult",
  H885&gt;=50,"Senior"
)</f>
        <v>Young Adult</v>
      </c>
      <c r="J885" s="4" t="s">
        <v>20</v>
      </c>
      <c r="K885" s="4">
        <v>2</v>
      </c>
      <c r="L885" s="5">
        <v>30</v>
      </c>
      <c r="M885" s="5">
        <f xml:space="preserve"> K885*L885</f>
        <v>60</v>
      </c>
      <c r="N885" s="14">
        <f xml:space="preserve"> M885 * $Q$3</f>
        <v>0.89999999999999991</v>
      </c>
      <c r="O885" s="5"/>
    </row>
    <row r="886" spans="1:15">
      <c r="A886" s="2">
        <v>885</v>
      </c>
      <c r="B886" s="4">
        <f>DAY(E886)</f>
        <v>3</v>
      </c>
      <c r="C886" s="4">
        <f>MONTH(E886)</f>
        <v>3</v>
      </c>
      <c r="D886" s="4">
        <f>YEAR(E886)</f>
        <v>2023</v>
      </c>
      <c r="E886" s="17">
        <v>44988</v>
      </c>
      <c r="F886" s="4" t="s">
        <v>908</v>
      </c>
      <c r="G886" s="4" t="s">
        <v>19</v>
      </c>
      <c r="H886" s="4">
        <v>52</v>
      </c>
      <c r="I886" s="4" t="str" cm="1">
        <f t="array" ref="I886">_xlfn.IFS(
  H886&lt;30,"Young Adult",
  H886&lt;50,"Adult",
  H886&gt;=50,"Senior"
)</f>
        <v>Senior</v>
      </c>
      <c r="J886" s="4" t="s">
        <v>20</v>
      </c>
      <c r="K886" s="4">
        <v>4</v>
      </c>
      <c r="L886" s="5">
        <v>30</v>
      </c>
      <c r="M886" s="5">
        <f xml:space="preserve"> K886*L886</f>
        <v>120</v>
      </c>
      <c r="N886" s="14">
        <f xml:space="preserve"> M886 * $Q$3</f>
        <v>1.7999999999999998</v>
      </c>
      <c r="O886" s="5"/>
    </row>
    <row r="887" spans="1:15">
      <c r="A887" s="2">
        <v>886</v>
      </c>
      <c r="B887" s="4">
        <f>DAY(E887)</f>
        <v>9</v>
      </c>
      <c r="C887" s="4">
        <f>MONTH(E887)</f>
        <v>4</v>
      </c>
      <c r="D887" s="4">
        <f>YEAR(E887)</f>
        <v>2023</v>
      </c>
      <c r="E887" s="17">
        <v>45025</v>
      </c>
      <c r="F887" s="4" t="s">
        <v>909</v>
      </c>
      <c r="G887" s="4" t="s">
        <v>15</v>
      </c>
      <c r="H887" s="4">
        <v>37</v>
      </c>
      <c r="I887" s="4" t="str" cm="1">
        <f t="array" ref="I887">_xlfn.IFS(
  H887&lt;30,"Young Adult",
  H887&lt;50,"Adult",
  H887&gt;=50,"Senior"
)</f>
        <v>Adult</v>
      </c>
      <c r="J887" s="4" t="s">
        <v>23</v>
      </c>
      <c r="K887" s="4">
        <v>3</v>
      </c>
      <c r="L887" s="5">
        <v>300</v>
      </c>
      <c r="M887" s="5">
        <f xml:space="preserve"> K887*L887</f>
        <v>900</v>
      </c>
      <c r="N887" s="14">
        <f xml:space="preserve"> M887 * $Q$3</f>
        <v>13.5</v>
      </c>
      <c r="O887" s="5"/>
    </row>
    <row r="888" spans="1:15">
      <c r="A888" s="2">
        <v>887</v>
      </c>
      <c r="B888" s="4">
        <f>DAY(E888)</f>
        <v>11</v>
      </c>
      <c r="C888" s="4">
        <f>MONTH(E888)</f>
        <v>6</v>
      </c>
      <c r="D888" s="4">
        <f>YEAR(E888)</f>
        <v>2023</v>
      </c>
      <c r="E888" s="3">
        <v>45088</v>
      </c>
      <c r="F888" s="4" t="s">
        <v>910</v>
      </c>
      <c r="G888" s="4" t="s">
        <v>15</v>
      </c>
      <c r="H888" s="4">
        <v>59</v>
      </c>
      <c r="I888" s="4" t="str" cm="1">
        <f t="array" ref="I888">_xlfn.IFS(
  H888&lt;30,"Young Adult",
  H888&lt;50,"Adult",
  H888&gt;=50,"Senior"
)</f>
        <v>Senior</v>
      </c>
      <c r="J888" s="4" t="s">
        <v>20</v>
      </c>
      <c r="K888" s="4">
        <v>4</v>
      </c>
      <c r="L888" s="5">
        <v>25</v>
      </c>
      <c r="M888" s="5">
        <f xml:space="preserve"> K888*L888</f>
        <v>100</v>
      </c>
      <c r="N888" s="14">
        <f xml:space="preserve"> M888 * $Q$3</f>
        <v>1.5</v>
      </c>
      <c r="O888" s="5"/>
    </row>
    <row r="889" spans="1:15">
      <c r="A889" s="2">
        <v>888</v>
      </c>
      <c r="B889" s="4">
        <f>DAY(E889)</f>
        <v>3</v>
      </c>
      <c r="C889" s="4">
        <f>MONTH(E889)</f>
        <v>3</v>
      </c>
      <c r="D889" s="4">
        <f>YEAR(E889)</f>
        <v>2023</v>
      </c>
      <c r="E889" s="17">
        <v>44988</v>
      </c>
      <c r="F889" s="4" t="s">
        <v>911</v>
      </c>
      <c r="G889" s="4" t="s">
        <v>19</v>
      </c>
      <c r="H889" s="4">
        <v>52</v>
      </c>
      <c r="I889" s="4" t="str" cm="1">
        <f t="array" ref="I889">_xlfn.IFS(
  H889&lt;30,"Young Adult",
  H889&lt;50,"Adult",
  H889&gt;=50,"Senior"
)</f>
        <v>Senior</v>
      </c>
      <c r="J889" s="4" t="s">
        <v>23</v>
      </c>
      <c r="K889" s="4">
        <v>4</v>
      </c>
      <c r="L889" s="5">
        <v>25</v>
      </c>
      <c r="M889" s="5">
        <f xml:space="preserve"> K889*L889</f>
        <v>100</v>
      </c>
      <c r="N889" s="14">
        <f xml:space="preserve"> M889 * $Q$3</f>
        <v>1.5</v>
      </c>
      <c r="O889" s="5"/>
    </row>
    <row r="890" spans="1:15">
      <c r="A890" s="2">
        <v>889</v>
      </c>
      <c r="B890" s="4">
        <f>DAY(E890)</f>
        <v>2</v>
      </c>
      <c r="C890" s="4">
        <f>MONTH(E890)</f>
        <v>10</v>
      </c>
      <c r="D890" s="4">
        <f>YEAR(E890)</f>
        <v>2023</v>
      </c>
      <c r="E890" s="3">
        <v>45201</v>
      </c>
      <c r="F890" s="4" t="s">
        <v>912</v>
      </c>
      <c r="G890" s="4" t="s">
        <v>19</v>
      </c>
      <c r="H890" s="4">
        <v>35</v>
      </c>
      <c r="I890" s="4" t="str" cm="1">
        <f t="array" ref="I890">_xlfn.IFS(
  H890&lt;30,"Young Adult",
  H890&lt;50,"Adult",
  H890&gt;=50,"Senior"
)</f>
        <v>Adult</v>
      </c>
      <c r="J890" s="4" t="s">
        <v>23</v>
      </c>
      <c r="K890" s="4">
        <v>1</v>
      </c>
      <c r="L890" s="5">
        <v>50</v>
      </c>
      <c r="M890" s="5">
        <f xml:space="preserve"> K890*L890</f>
        <v>50</v>
      </c>
      <c r="N890" s="14">
        <f xml:space="preserve"> M890 * $Q$3</f>
        <v>0.75</v>
      </c>
      <c r="O890" s="5"/>
    </row>
    <row r="891" spans="1:15">
      <c r="A891" s="2">
        <v>890</v>
      </c>
      <c r="B891" s="4">
        <f>DAY(E891)</f>
        <v>20</v>
      </c>
      <c r="C891" s="4">
        <f>MONTH(E891)</f>
        <v>12</v>
      </c>
      <c r="D891" s="4">
        <f>YEAR(E891)</f>
        <v>2023</v>
      </c>
      <c r="E891" s="3">
        <v>45280</v>
      </c>
      <c r="F891" s="4" t="s">
        <v>913</v>
      </c>
      <c r="G891" s="4" t="s">
        <v>15</v>
      </c>
      <c r="H891" s="4">
        <v>34</v>
      </c>
      <c r="I891" s="4" t="str" cm="1">
        <f t="array" ref="I891">_xlfn.IFS(
  H891&lt;30,"Young Adult",
  H891&lt;50,"Adult",
  H891&gt;=50,"Senior"
)</f>
        <v>Adult</v>
      </c>
      <c r="J891" s="4" t="s">
        <v>23</v>
      </c>
      <c r="K891" s="4">
        <v>2</v>
      </c>
      <c r="L891" s="5">
        <v>25</v>
      </c>
      <c r="M891" s="5">
        <f xml:space="preserve"> K891*L891</f>
        <v>50</v>
      </c>
      <c r="N891" s="14">
        <f xml:space="preserve"> M891 * $Q$3</f>
        <v>0.75</v>
      </c>
      <c r="O891" s="5"/>
    </row>
    <row r="892" spans="1:15">
      <c r="A892" s="2">
        <v>891</v>
      </c>
      <c r="B892" s="4">
        <f>DAY(E892)</f>
        <v>5</v>
      </c>
      <c r="C892" s="4">
        <f>MONTH(E892)</f>
        <v>4</v>
      </c>
      <c r="D892" s="4">
        <f>YEAR(E892)</f>
        <v>2023</v>
      </c>
      <c r="E892" s="17">
        <v>45021</v>
      </c>
      <c r="F892" s="4" t="s">
        <v>914</v>
      </c>
      <c r="G892" s="4" t="s">
        <v>15</v>
      </c>
      <c r="H892" s="4">
        <v>41</v>
      </c>
      <c r="I892" s="4" t="str" cm="1">
        <f t="array" ref="I892">_xlfn.IFS(
  H892&lt;30,"Young Adult",
  H892&lt;50,"Adult",
  H892&gt;=50,"Senior"
)</f>
        <v>Adult</v>
      </c>
      <c r="J892" s="4" t="s">
        <v>23</v>
      </c>
      <c r="K892" s="4">
        <v>3</v>
      </c>
      <c r="L892" s="5">
        <v>300</v>
      </c>
      <c r="M892" s="5">
        <f xml:space="preserve"> K892*L892</f>
        <v>900</v>
      </c>
      <c r="N892" s="14">
        <f xml:space="preserve"> M892 * $Q$3</f>
        <v>13.5</v>
      </c>
      <c r="O892" s="5"/>
    </row>
    <row r="893" spans="1:15">
      <c r="A893" s="2">
        <v>892</v>
      </c>
      <c r="B893" s="4">
        <f>DAY(E893)</f>
        <v>9</v>
      </c>
      <c r="C893" s="4">
        <f>MONTH(E893)</f>
        <v>4</v>
      </c>
      <c r="D893" s="4">
        <f>YEAR(E893)</f>
        <v>2023</v>
      </c>
      <c r="E893" s="17">
        <v>45025</v>
      </c>
      <c r="F893" s="4" t="s">
        <v>915</v>
      </c>
      <c r="G893" s="4" t="s">
        <v>15</v>
      </c>
      <c r="H893" s="4">
        <v>20</v>
      </c>
      <c r="I893" s="4" t="str" cm="1">
        <f t="array" ref="I893">_xlfn.IFS(
  H893&lt;30,"Young Adult",
  H893&lt;50,"Adult",
  H893&gt;=50,"Senior"
)</f>
        <v>Young Adult</v>
      </c>
      <c r="J893" s="4" t="s">
        <v>23</v>
      </c>
      <c r="K893" s="4">
        <v>1</v>
      </c>
      <c r="L893" s="5">
        <v>50</v>
      </c>
      <c r="M893" s="5">
        <f xml:space="preserve"> K893*L893</f>
        <v>50</v>
      </c>
      <c r="N893" s="14">
        <f xml:space="preserve"> M893 * $Q$3</f>
        <v>0.75</v>
      </c>
      <c r="O893" s="5"/>
    </row>
    <row r="894" spans="1:15">
      <c r="A894" s="2">
        <v>893</v>
      </c>
      <c r="B894" s="4">
        <f>DAY(E894)</f>
        <v>21</v>
      </c>
      <c r="C894" s="4">
        <f>MONTH(E894)</f>
        <v>4</v>
      </c>
      <c r="D894" s="4">
        <f>YEAR(E894)</f>
        <v>2023</v>
      </c>
      <c r="E894" s="17">
        <v>45037</v>
      </c>
      <c r="F894" s="4" t="s">
        <v>916</v>
      </c>
      <c r="G894" s="4" t="s">
        <v>15</v>
      </c>
      <c r="H894" s="4">
        <v>49</v>
      </c>
      <c r="I894" s="4" t="str" cm="1">
        <f t="array" ref="I894">_xlfn.IFS(
  H894&lt;30,"Young Adult",
  H894&lt;50,"Adult",
  H894&gt;=50,"Senior"
)</f>
        <v>Adult</v>
      </c>
      <c r="J894" s="4" t="s">
        <v>23</v>
      </c>
      <c r="K894" s="4">
        <v>1</v>
      </c>
      <c r="L894" s="5">
        <v>50</v>
      </c>
      <c r="M894" s="5">
        <f xml:space="preserve"> K894*L894</f>
        <v>50</v>
      </c>
      <c r="N894" s="14">
        <f xml:space="preserve"> M894 * $Q$3</f>
        <v>0.75</v>
      </c>
      <c r="O894" s="5"/>
    </row>
    <row r="895" spans="1:15">
      <c r="A895" s="2">
        <v>894</v>
      </c>
      <c r="B895" s="4">
        <f>DAY(E895)</f>
        <v>5</v>
      </c>
      <c r="C895" s="4">
        <f>MONTH(E895)</f>
        <v>9</v>
      </c>
      <c r="D895" s="4">
        <f>YEAR(E895)</f>
        <v>2023</v>
      </c>
      <c r="E895" s="3">
        <v>45174</v>
      </c>
      <c r="F895" s="4" t="s">
        <v>917</v>
      </c>
      <c r="G895" s="4" t="s">
        <v>15</v>
      </c>
      <c r="H895" s="4">
        <v>52</v>
      </c>
      <c r="I895" s="4" t="str" cm="1">
        <f t="array" ref="I895">_xlfn.IFS(
  H895&lt;30,"Young Adult",
  H895&lt;50,"Adult",
  H895&gt;=50,"Senior"
)</f>
        <v>Senior</v>
      </c>
      <c r="J895" s="4" t="s">
        <v>23</v>
      </c>
      <c r="K895" s="4">
        <v>1</v>
      </c>
      <c r="L895" s="5">
        <v>30</v>
      </c>
      <c r="M895" s="5">
        <f xml:space="preserve"> K895*L895</f>
        <v>30</v>
      </c>
      <c r="N895" s="14">
        <f xml:space="preserve"> M895 * $Q$3</f>
        <v>0.44999999999999996</v>
      </c>
      <c r="O895" s="5"/>
    </row>
    <row r="896" spans="1:15">
      <c r="A896" s="2">
        <v>895</v>
      </c>
      <c r="B896" s="4">
        <f>DAY(E896)</f>
        <v>22</v>
      </c>
      <c r="C896" s="4">
        <f>MONTH(E896)</f>
        <v>5</v>
      </c>
      <c r="D896" s="4">
        <f>YEAR(E896)</f>
        <v>2023</v>
      </c>
      <c r="E896" s="17">
        <v>45068</v>
      </c>
      <c r="F896" s="4" t="s">
        <v>918</v>
      </c>
      <c r="G896" s="4" t="s">
        <v>19</v>
      </c>
      <c r="H896" s="4">
        <v>55</v>
      </c>
      <c r="I896" s="4" t="str" cm="1">
        <f t="array" ref="I896">_xlfn.IFS(
  H896&lt;30,"Young Adult",
  H896&lt;50,"Adult",
  H896&gt;=50,"Senior"
)</f>
        <v>Senior</v>
      </c>
      <c r="J896" s="4" t="s">
        <v>20</v>
      </c>
      <c r="K896" s="4">
        <v>4</v>
      </c>
      <c r="L896" s="5">
        <v>30</v>
      </c>
      <c r="M896" s="5">
        <f xml:space="preserve"> K896*L896</f>
        <v>120</v>
      </c>
      <c r="N896" s="14">
        <f xml:space="preserve"> M896 * $Q$3</f>
        <v>1.7999999999999998</v>
      </c>
      <c r="O896" s="5"/>
    </row>
    <row r="897" spans="1:15">
      <c r="A897" s="2">
        <v>896</v>
      </c>
      <c r="B897" s="4">
        <f>DAY(E897)</f>
        <v>29</v>
      </c>
      <c r="C897" s="4">
        <f>MONTH(E897)</f>
        <v>10</v>
      </c>
      <c r="D897" s="4">
        <f>YEAR(E897)</f>
        <v>2023</v>
      </c>
      <c r="E897" s="3">
        <v>45228</v>
      </c>
      <c r="F897" s="4" t="s">
        <v>919</v>
      </c>
      <c r="G897" s="4" t="s">
        <v>19</v>
      </c>
      <c r="H897" s="4">
        <v>30</v>
      </c>
      <c r="I897" s="4" t="str" cm="1">
        <f t="array" ref="I897">_xlfn.IFS(
  H897&lt;30,"Young Adult",
  H897&lt;50,"Adult",
  H897&gt;=50,"Senior"
)</f>
        <v>Adult</v>
      </c>
      <c r="J897" s="4" t="s">
        <v>23</v>
      </c>
      <c r="K897" s="4">
        <v>2</v>
      </c>
      <c r="L897" s="5">
        <v>25</v>
      </c>
      <c r="M897" s="5">
        <f xml:space="preserve"> K897*L897</f>
        <v>50</v>
      </c>
      <c r="N897" s="14">
        <f xml:space="preserve"> M897 * $Q$3</f>
        <v>0.75</v>
      </c>
      <c r="O897" s="5"/>
    </row>
    <row r="898" spans="1:15">
      <c r="A898" s="2">
        <v>897</v>
      </c>
      <c r="B898" s="4">
        <f>DAY(E898)</f>
        <v>26</v>
      </c>
      <c r="C898" s="4">
        <f>MONTH(E898)</f>
        <v>9</v>
      </c>
      <c r="D898" s="4">
        <f>YEAR(E898)</f>
        <v>2023</v>
      </c>
      <c r="E898" s="3">
        <v>45195</v>
      </c>
      <c r="F898" s="4" t="s">
        <v>920</v>
      </c>
      <c r="G898" s="4" t="s">
        <v>19</v>
      </c>
      <c r="H898" s="4">
        <v>64</v>
      </c>
      <c r="I898" s="4" t="str" cm="1">
        <f t="array" ref="I898">_xlfn.IFS(
  H898&lt;30,"Young Adult",
  H898&lt;50,"Adult",
  H898&gt;=50,"Senior"
)</f>
        <v>Senior</v>
      </c>
      <c r="J898" s="4" t="s">
        <v>23</v>
      </c>
      <c r="K898" s="4">
        <v>2</v>
      </c>
      <c r="L898" s="5">
        <v>50</v>
      </c>
      <c r="M898" s="5">
        <f xml:space="preserve"> K898*L898</f>
        <v>100</v>
      </c>
      <c r="N898" s="14">
        <f xml:space="preserve"> M898 * $Q$3</f>
        <v>1.5</v>
      </c>
      <c r="O898" s="5"/>
    </row>
    <row r="899" spans="1:15">
      <c r="A899" s="2">
        <v>898</v>
      </c>
      <c r="B899" s="4">
        <f>DAY(E899)</f>
        <v>2</v>
      </c>
      <c r="C899" s="4">
        <f>MONTH(E899)</f>
        <v>11</v>
      </c>
      <c r="D899" s="4">
        <f>YEAR(E899)</f>
        <v>2023</v>
      </c>
      <c r="E899" s="3">
        <v>45232</v>
      </c>
      <c r="F899" s="4" t="s">
        <v>921</v>
      </c>
      <c r="G899" s="4" t="s">
        <v>19</v>
      </c>
      <c r="H899" s="4">
        <v>42</v>
      </c>
      <c r="I899" s="4" t="str" cm="1">
        <f t="array" ref="I899">_xlfn.IFS(
  H899&lt;30,"Young Adult",
  H899&lt;50,"Adult",
  H899&gt;=50,"Senior"
)</f>
        <v>Adult</v>
      </c>
      <c r="J899" s="4" t="s">
        <v>20</v>
      </c>
      <c r="K899" s="4">
        <v>3</v>
      </c>
      <c r="L899" s="5">
        <v>30</v>
      </c>
      <c r="M899" s="5">
        <f xml:space="preserve"> K899*L899</f>
        <v>90</v>
      </c>
      <c r="N899" s="14">
        <f xml:space="preserve"> M899 * $Q$3</f>
        <v>1.3499999999999999</v>
      </c>
      <c r="O899" s="5"/>
    </row>
    <row r="900" spans="1:15">
      <c r="A900" s="2">
        <v>899</v>
      </c>
      <c r="B900" s="4">
        <f>DAY(E900)</f>
        <v>25</v>
      </c>
      <c r="C900" s="4">
        <f>MONTH(E900)</f>
        <v>5</v>
      </c>
      <c r="D900" s="4">
        <f>YEAR(E900)</f>
        <v>2023</v>
      </c>
      <c r="E900" s="17">
        <v>45071</v>
      </c>
      <c r="F900" s="4" t="s">
        <v>922</v>
      </c>
      <c r="G900" s="4" t="s">
        <v>15</v>
      </c>
      <c r="H900" s="4">
        <v>26</v>
      </c>
      <c r="I900" s="4" t="str" cm="1">
        <f t="array" ref="I900">_xlfn.IFS(
  H900&lt;30,"Young Adult",
  H900&lt;50,"Adult",
  H900&gt;=50,"Senior"
)</f>
        <v>Young Adult</v>
      </c>
      <c r="J900" s="4" t="s">
        <v>20</v>
      </c>
      <c r="K900" s="4">
        <v>2</v>
      </c>
      <c r="L900" s="5">
        <v>300</v>
      </c>
      <c r="M900" s="5">
        <f xml:space="preserve"> K900*L900</f>
        <v>600</v>
      </c>
      <c r="N900" s="14">
        <f xml:space="preserve"> M900 * $Q$3</f>
        <v>9</v>
      </c>
      <c r="O900" s="5"/>
    </row>
    <row r="901" spans="1:15">
      <c r="A901" s="2">
        <v>900</v>
      </c>
      <c r="B901" s="4">
        <f>DAY(E901)</f>
        <v>21</v>
      </c>
      <c r="C901" s="4">
        <f>MONTH(E901)</f>
        <v>2</v>
      </c>
      <c r="D901" s="4">
        <f>YEAR(E901)</f>
        <v>2023</v>
      </c>
      <c r="E901" s="3">
        <v>44978</v>
      </c>
      <c r="F901" s="4" t="s">
        <v>923</v>
      </c>
      <c r="G901" s="4" t="s">
        <v>15</v>
      </c>
      <c r="H901" s="4">
        <v>21</v>
      </c>
      <c r="I901" s="4" t="str" cm="1">
        <f t="array" ref="I901">_xlfn.IFS(
  H901&lt;30,"Young Adult",
  H901&lt;50,"Adult",
  H901&gt;=50,"Senior"
)</f>
        <v>Young Adult</v>
      </c>
      <c r="J901" s="4" t="s">
        <v>20</v>
      </c>
      <c r="K901" s="4">
        <v>2</v>
      </c>
      <c r="L901" s="5">
        <v>30</v>
      </c>
      <c r="M901" s="5">
        <f xml:space="preserve"> K901*L901</f>
        <v>60</v>
      </c>
      <c r="N901" s="14">
        <f xml:space="preserve"> M901 * $Q$3</f>
        <v>0.89999999999999991</v>
      </c>
      <c r="O901" s="5"/>
    </row>
    <row r="902" spans="1:15">
      <c r="A902" s="2">
        <v>901</v>
      </c>
      <c r="B902" s="4">
        <f>DAY(E902)</f>
        <v>10</v>
      </c>
      <c r="C902" s="4">
        <f>MONTH(E902)</f>
        <v>4</v>
      </c>
      <c r="D902" s="4">
        <f>YEAR(E902)</f>
        <v>2023</v>
      </c>
      <c r="E902" s="17">
        <v>45026</v>
      </c>
      <c r="F902" s="4" t="s">
        <v>924</v>
      </c>
      <c r="G902" s="4" t="s">
        <v>15</v>
      </c>
      <c r="H902" s="4">
        <v>31</v>
      </c>
      <c r="I902" s="4" t="str" cm="1">
        <f t="array" ref="I902">_xlfn.IFS(
  H902&lt;30,"Young Adult",
  H902&lt;50,"Adult",
  H902&gt;=50,"Senior"
)</f>
        <v>Adult</v>
      </c>
      <c r="J902" s="4" t="s">
        <v>23</v>
      </c>
      <c r="K902" s="4">
        <v>1</v>
      </c>
      <c r="L902" s="5">
        <v>30</v>
      </c>
      <c r="M902" s="5">
        <f xml:space="preserve"> K902*L902</f>
        <v>30</v>
      </c>
      <c r="N902" s="14">
        <f xml:space="preserve"> M902 * $Q$3</f>
        <v>0.44999999999999996</v>
      </c>
      <c r="O902" s="5"/>
    </row>
    <row r="903" spans="1:15">
      <c r="A903" s="2">
        <v>902</v>
      </c>
      <c r="B903" s="4">
        <f>DAY(E903)</f>
        <v>1</v>
      </c>
      <c r="C903" s="4">
        <f>MONTH(E903)</f>
        <v>6</v>
      </c>
      <c r="D903" s="4">
        <f>YEAR(E903)</f>
        <v>2023</v>
      </c>
      <c r="E903" s="3">
        <v>45078</v>
      </c>
      <c r="F903" s="4" t="s">
        <v>925</v>
      </c>
      <c r="G903" s="4" t="s">
        <v>19</v>
      </c>
      <c r="H903" s="4">
        <v>54</v>
      </c>
      <c r="I903" s="4" t="str" cm="1">
        <f t="array" ref="I903">_xlfn.IFS(
  H903&lt;30,"Young Adult",
  H903&lt;50,"Adult",
  H903&gt;=50,"Senior"
)</f>
        <v>Senior</v>
      </c>
      <c r="J903" s="4" t="s">
        <v>16</v>
      </c>
      <c r="K903" s="4">
        <v>1</v>
      </c>
      <c r="L903" s="5">
        <v>50</v>
      </c>
      <c r="M903" s="5">
        <f xml:space="preserve"> K903*L903</f>
        <v>50</v>
      </c>
      <c r="N903" s="14">
        <f xml:space="preserve"> M903 * $Q$3</f>
        <v>0.75</v>
      </c>
      <c r="O903" s="5"/>
    </row>
    <row r="904" spans="1:15">
      <c r="A904" s="2">
        <v>903</v>
      </c>
      <c r="B904" s="4">
        <f>DAY(E904)</f>
        <v>27</v>
      </c>
      <c r="C904" s="4">
        <f>MONTH(E904)</f>
        <v>4</v>
      </c>
      <c r="D904" s="4">
        <f>YEAR(E904)</f>
        <v>2023</v>
      </c>
      <c r="E904" s="17">
        <v>45043</v>
      </c>
      <c r="F904" s="4" t="s">
        <v>926</v>
      </c>
      <c r="G904" s="4" t="s">
        <v>19</v>
      </c>
      <c r="H904" s="4">
        <v>51</v>
      </c>
      <c r="I904" s="4" t="str" cm="1">
        <f t="array" ref="I904">_xlfn.IFS(
  H904&lt;30,"Young Adult",
  H904&lt;50,"Adult",
  H904&gt;=50,"Senior"
)</f>
        <v>Senior</v>
      </c>
      <c r="J904" s="4" t="s">
        <v>16</v>
      </c>
      <c r="K904" s="4">
        <v>4</v>
      </c>
      <c r="L904" s="5">
        <v>50</v>
      </c>
      <c r="M904" s="5">
        <f xml:space="preserve"> K904*L904</f>
        <v>200</v>
      </c>
      <c r="N904" s="14">
        <f xml:space="preserve"> M904 * $Q$3</f>
        <v>3</v>
      </c>
      <c r="O904" s="5"/>
    </row>
    <row r="905" spans="1:15">
      <c r="A905" s="2">
        <v>904</v>
      </c>
      <c r="B905" s="4">
        <f>DAY(E905)</f>
        <v>4</v>
      </c>
      <c r="C905" s="4">
        <f>MONTH(E905)</f>
        <v>7</v>
      </c>
      <c r="D905" s="4">
        <f>YEAR(E905)</f>
        <v>2023</v>
      </c>
      <c r="E905" s="3">
        <v>45111</v>
      </c>
      <c r="F905" s="4" t="s">
        <v>927</v>
      </c>
      <c r="G905" s="4" t="s">
        <v>15</v>
      </c>
      <c r="H905" s="4">
        <v>28</v>
      </c>
      <c r="I905" s="4" t="str" cm="1">
        <f t="array" ref="I905">_xlfn.IFS(
  H905&lt;30,"Young Adult",
  H905&lt;50,"Adult",
  H905&gt;=50,"Senior"
)</f>
        <v>Young Adult</v>
      </c>
      <c r="J905" s="4" t="s">
        <v>20</v>
      </c>
      <c r="K905" s="4">
        <v>1</v>
      </c>
      <c r="L905" s="5">
        <v>500</v>
      </c>
      <c r="M905" s="5">
        <f xml:space="preserve"> K905*L905</f>
        <v>500</v>
      </c>
      <c r="N905" s="14">
        <f xml:space="preserve"> M905 * $Q$3</f>
        <v>7.5</v>
      </c>
      <c r="O905" s="5"/>
    </row>
    <row r="906" spans="1:15">
      <c r="A906" s="2">
        <v>905</v>
      </c>
      <c r="B906" s="4">
        <f>DAY(E906)</f>
        <v>2</v>
      </c>
      <c r="C906" s="4">
        <f>MONTH(E906)</f>
        <v>4</v>
      </c>
      <c r="D906" s="4">
        <f>YEAR(E906)</f>
        <v>2023</v>
      </c>
      <c r="E906" s="17">
        <v>45018</v>
      </c>
      <c r="F906" s="4" t="s">
        <v>928</v>
      </c>
      <c r="G906" s="4" t="s">
        <v>15</v>
      </c>
      <c r="H906" s="4">
        <v>58</v>
      </c>
      <c r="I906" s="4" t="str" cm="1">
        <f t="array" ref="I906">_xlfn.IFS(
  H906&lt;30,"Young Adult",
  H906&lt;50,"Adult",
  H906&gt;=50,"Senior"
)</f>
        <v>Senior</v>
      </c>
      <c r="J906" s="4" t="s">
        <v>16</v>
      </c>
      <c r="K906" s="4">
        <v>1</v>
      </c>
      <c r="L906" s="5">
        <v>300</v>
      </c>
      <c r="M906" s="5">
        <f xml:space="preserve"> K906*L906</f>
        <v>300</v>
      </c>
      <c r="N906" s="14">
        <f xml:space="preserve"> M906 * $Q$3</f>
        <v>4.5</v>
      </c>
      <c r="O906" s="5"/>
    </row>
    <row r="907" spans="1:15">
      <c r="A907" s="2">
        <v>906</v>
      </c>
      <c r="B907" s="4">
        <f>DAY(E907)</f>
        <v>4</v>
      </c>
      <c r="C907" s="4">
        <f>MONTH(E907)</f>
        <v>6</v>
      </c>
      <c r="D907" s="4">
        <f>YEAR(E907)</f>
        <v>2023</v>
      </c>
      <c r="E907" s="3">
        <v>45081</v>
      </c>
      <c r="F907" s="4" t="s">
        <v>929</v>
      </c>
      <c r="G907" s="4" t="s">
        <v>19</v>
      </c>
      <c r="H907" s="4">
        <v>20</v>
      </c>
      <c r="I907" s="4" t="str" cm="1">
        <f t="array" ref="I907">_xlfn.IFS(
  H907&lt;30,"Young Adult",
  H907&lt;50,"Adult",
  H907&gt;=50,"Senior"
)</f>
        <v>Young Adult</v>
      </c>
      <c r="J907" s="4" t="s">
        <v>20</v>
      </c>
      <c r="K907" s="4">
        <v>1</v>
      </c>
      <c r="L907" s="5">
        <v>50</v>
      </c>
      <c r="M907" s="5">
        <f xml:space="preserve"> K907*L907</f>
        <v>50</v>
      </c>
      <c r="N907" s="14">
        <f xml:space="preserve"> M907 * $Q$3</f>
        <v>0.75</v>
      </c>
      <c r="O907" s="5"/>
    </row>
    <row r="908" spans="1:15">
      <c r="A908" s="2">
        <v>907</v>
      </c>
      <c r="B908" s="4">
        <f>DAY(E908)</f>
        <v>8</v>
      </c>
      <c r="C908" s="4">
        <f>MONTH(E908)</f>
        <v>1</v>
      </c>
      <c r="D908" s="4">
        <f>YEAR(E908)</f>
        <v>2023</v>
      </c>
      <c r="E908" s="3">
        <v>44934</v>
      </c>
      <c r="F908" s="4" t="s">
        <v>930</v>
      </c>
      <c r="G908" s="4" t="s">
        <v>19</v>
      </c>
      <c r="H908" s="4">
        <v>45</v>
      </c>
      <c r="I908" s="4" t="str" cm="1">
        <f t="array" ref="I908">_xlfn.IFS(
  H908&lt;30,"Young Adult",
  H908&lt;50,"Adult",
  H908&gt;=50,"Senior"
)</f>
        <v>Adult</v>
      </c>
      <c r="J908" s="4" t="s">
        <v>23</v>
      </c>
      <c r="K908" s="4">
        <v>1</v>
      </c>
      <c r="L908" s="5">
        <v>25</v>
      </c>
      <c r="M908" s="5">
        <f xml:space="preserve"> K908*L908</f>
        <v>25</v>
      </c>
      <c r="N908" s="14">
        <f xml:space="preserve"> M908 * $Q$3</f>
        <v>0.375</v>
      </c>
      <c r="O908" s="5"/>
    </row>
    <row r="909" spans="1:15">
      <c r="A909" s="2">
        <v>908</v>
      </c>
      <c r="B909" s="4">
        <f>DAY(E909)</f>
        <v>29</v>
      </c>
      <c r="C909" s="4">
        <f>MONTH(E909)</f>
        <v>12</v>
      </c>
      <c r="D909" s="4">
        <f>YEAR(E909)</f>
        <v>2023</v>
      </c>
      <c r="E909" s="3">
        <v>45289</v>
      </c>
      <c r="F909" s="4" t="s">
        <v>931</v>
      </c>
      <c r="G909" s="4" t="s">
        <v>15</v>
      </c>
      <c r="H909" s="4">
        <v>46</v>
      </c>
      <c r="I909" s="4" t="str" cm="1">
        <f t="array" ref="I909">_xlfn.IFS(
  H909&lt;30,"Young Adult",
  H909&lt;50,"Adult",
  H909&gt;=50,"Senior"
)</f>
        <v>Adult</v>
      </c>
      <c r="J909" s="4" t="s">
        <v>16</v>
      </c>
      <c r="K909" s="4">
        <v>4</v>
      </c>
      <c r="L909" s="5">
        <v>300</v>
      </c>
      <c r="M909" s="5">
        <f xml:space="preserve"> K909*L909</f>
        <v>1200</v>
      </c>
      <c r="N909" s="14">
        <f xml:space="preserve"> M909 * $Q$3</f>
        <v>18</v>
      </c>
      <c r="O909" s="5"/>
    </row>
    <row r="910" spans="1:15">
      <c r="A910" s="2">
        <v>909</v>
      </c>
      <c r="B910" s="4">
        <f>DAY(E910)</f>
        <v>1</v>
      </c>
      <c r="C910" s="4">
        <f>MONTH(E910)</f>
        <v>10</v>
      </c>
      <c r="D910" s="4">
        <f>YEAR(E910)</f>
        <v>2023</v>
      </c>
      <c r="E910" s="3">
        <v>45200</v>
      </c>
      <c r="F910" s="4" t="s">
        <v>932</v>
      </c>
      <c r="G910" s="4" t="s">
        <v>15</v>
      </c>
      <c r="H910" s="4">
        <v>26</v>
      </c>
      <c r="I910" s="4" t="str" cm="1">
        <f t="array" ref="I910">_xlfn.IFS(
  H910&lt;30,"Young Adult",
  H910&lt;50,"Adult",
  H910&gt;=50,"Senior"
)</f>
        <v>Young Adult</v>
      </c>
      <c r="J910" s="4" t="s">
        <v>23</v>
      </c>
      <c r="K910" s="4">
        <v>1</v>
      </c>
      <c r="L910" s="5">
        <v>300</v>
      </c>
      <c r="M910" s="5">
        <f xml:space="preserve"> K910*L910</f>
        <v>300</v>
      </c>
      <c r="N910" s="14">
        <f xml:space="preserve"> M910 * $Q$3</f>
        <v>4.5</v>
      </c>
      <c r="O910" s="5"/>
    </row>
    <row r="911" spans="1:15">
      <c r="A911" s="2">
        <v>910</v>
      </c>
      <c r="B911" s="4">
        <f>DAY(E911)</f>
        <v>6</v>
      </c>
      <c r="C911" s="4">
        <f>MONTH(E911)</f>
        <v>3</v>
      </c>
      <c r="D911" s="4">
        <f>YEAR(E911)</f>
        <v>2023</v>
      </c>
      <c r="E911" s="17">
        <v>44991</v>
      </c>
      <c r="F911" s="4" t="s">
        <v>933</v>
      </c>
      <c r="G911" s="4" t="s">
        <v>19</v>
      </c>
      <c r="H911" s="4">
        <v>20</v>
      </c>
      <c r="I911" s="4" t="str" cm="1">
        <f t="array" ref="I911">_xlfn.IFS(
  H911&lt;30,"Young Adult",
  H911&lt;50,"Adult",
  H911&gt;=50,"Senior"
)</f>
        <v>Young Adult</v>
      </c>
      <c r="J911" s="4" t="s">
        <v>16</v>
      </c>
      <c r="K911" s="4">
        <v>3</v>
      </c>
      <c r="L911" s="5">
        <v>50</v>
      </c>
      <c r="M911" s="5">
        <f xml:space="preserve"> K911*L911</f>
        <v>150</v>
      </c>
      <c r="N911" s="14">
        <f xml:space="preserve"> M911 * $Q$3</f>
        <v>2.25</v>
      </c>
      <c r="O911" s="5"/>
    </row>
    <row r="912" spans="1:15">
      <c r="A912" s="2">
        <v>911</v>
      </c>
      <c r="B912" s="4">
        <f>DAY(E912)</f>
        <v>21</v>
      </c>
      <c r="C912" s="4">
        <f>MONTH(E912)</f>
        <v>5</v>
      </c>
      <c r="D912" s="4">
        <f>YEAR(E912)</f>
        <v>2023</v>
      </c>
      <c r="E912" s="17">
        <v>45067</v>
      </c>
      <c r="F912" s="4" t="s">
        <v>934</v>
      </c>
      <c r="G912" s="4" t="s">
        <v>15</v>
      </c>
      <c r="H912" s="4">
        <v>42</v>
      </c>
      <c r="I912" s="4" t="str" cm="1">
        <f t="array" ref="I912">_xlfn.IFS(
  H912&lt;30,"Young Adult",
  H912&lt;50,"Adult",
  H912&gt;=50,"Senior"
)</f>
        <v>Adult</v>
      </c>
      <c r="J912" s="4" t="s">
        <v>23</v>
      </c>
      <c r="K912" s="4">
        <v>3</v>
      </c>
      <c r="L912" s="5">
        <v>300</v>
      </c>
      <c r="M912" s="5">
        <f xml:space="preserve"> K912*L912</f>
        <v>900</v>
      </c>
      <c r="N912" s="14">
        <f xml:space="preserve"> M912 * $Q$3</f>
        <v>13.5</v>
      </c>
      <c r="O912" s="5"/>
    </row>
    <row r="913" spans="1:15">
      <c r="A913" s="2">
        <v>912</v>
      </c>
      <c r="B913" s="4">
        <f>DAY(E913)</f>
        <v>24</v>
      </c>
      <c r="C913" s="4">
        <f>MONTH(E913)</f>
        <v>1</v>
      </c>
      <c r="D913" s="4">
        <f>YEAR(E913)</f>
        <v>2023</v>
      </c>
      <c r="E913" s="3">
        <v>44950</v>
      </c>
      <c r="F913" s="4" t="s">
        <v>935</v>
      </c>
      <c r="G913" s="4" t="s">
        <v>15</v>
      </c>
      <c r="H913" s="4">
        <v>51</v>
      </c>
      <c r="I913" s="4" t="str" cm="1">
        <f t="array" ref="I913">_xlfn.IFS(
  H913&lt;30,"Young Adult",
  H913&lt;50,"Adult",
  H913&gt;=50,"Senior"
)</f>
        <v>Senior</v>
      </c>
      <c r="J913" s="4" t="s">
        <v>16</v>
      </c>
      <c r="K913" s="4">
        <v>3</v>
      </c>
      <c r="L913" s="5">
        <v>50</v>
      </c>
      <c r="M913" s="5">
        <f xml:space="preserve"> K913*L913</f>
        <v>150</v>
      </c>
      <c r="N913" s="14">
        <f xml:space="preserve"> M913 * $Q$3</f>
        <v>2.25</v>
      </c>
      <c r="O913" s="5"/>
    </row>
    <row r="914" spans="1:15">
      <c r="A914" s="2">
        <v>913</v>
      </c>
      <c r="B914" s="4">
        <f>DAY(E914)</f>
        <v>28</v>
      </c>
      <c r="C914" s="4">
        <f>MONTH(E914)</f>
        <v>1</v>
      </c>
      <c r="D914" s="4">
        <f>YEAR(E914)</f>
        <v>2023</v>
      </c>
      <c r="E914" s="3">
        <v>44954</v>
      </c>
      <c r="F914" s="4" t="s">
        <v>936</v>
      </c>
      <c r="G914" s="4" t="s">
        <v>15</v>
      </c>
      <c r="H914" s="4">
        <v>29</v>
      </c>
      <c r="I914" s="4" t="str" cm="1">
        <f t="array" ref="I914">_xlfn.IFS(
  H914&lt;30,"Young Adult",
  H914&lt;50,"Adult",
  H914&gt;=50,"Senior"
)</f>
        <v>Young Adult</v>
      </c>
      <c r="J914" s="4" t="s">
        <v>23</v>
      </c>
      <c r="K914" s="4">
        <v>3</v>
      </c>
      <c r="L914" s="5">
        <v>30</v>
      </c>
      <c r="M914" s="5">
        <f xml:space="preserve"> K914*L914</f>
        <v>90</v>
      </c>
      <c r="N914" s="14">
        <f xml:space="preserve"> M914 * $Q$3</f>
        <v>1.3499999999999999</v>
      </c>
      <c r="O914" s="5"/>
    </row>
    <row r="915" spans="1:15">
      <c r="A915" s="2">
        <v>914</v>
      </c>
      <c r="B915" s="4">
        <f>DAY(E915)</f>
        <v>11</v>
      </c>
      <c r="C915" s="4">
        <f>MONTH(E915)</f>
        <v>10</v>
      </c>
      <c r="D915" s="4">
        <f>YEAR(E915)</f>
        <v>2023</v>
      </c>
      <c r="E915" s="3">
        <v>45210</v>
      </c>
      <c r="F915" s="4" t="s">
        <v>937</v>
      </c>
      <c r="G915" s="4" t="s">
        <v>19</v>
      </c>
      <c r="H915" s="4">
        <v>59</v>
      </c>
      <c r="I915" s="4" t="str" cm="1">
        <f t="array" ref="I915">_xlfn.IFS(
  H915&lt;30,"Young Adult",
  H915&lt;50,"Adult",
  H915&gt;=50,"Senior"
)</f>
        <v>Senior</v>
      </c>
      <c r="J915" s="4" t="s">
        <v>23</v>
      </c>
      <c r="K915" s="4">
        <v>1</v>
      </c>
      <c r="L915" s="5">
        <v>500</v>
      </c>
      <c r="M915" s="5">
        <f xml:space="preserve"> K915*L915</f>
        <v>500</v>
      </c>
      <c r="N915" s="14">
        <f xml:space="preserve"> M915 * $Q$3</f>
        <v>7.5</v>
      </c>
      <c r="O915" s="5"/>
    </row>
    <row r="916" spans="1:15">
      <c r="A916" s="2">
        <v>915</v>
      </c>
      <c r="B916" s="4">
        <f>DAY(E916)</f>
        <v>30</v>
      </c>
      <c r="C916" s="4">
        <f>MONTH(E916)</f>
        <v>5</v>
      </c>
      <c r="D916" s="4">
        <f>YEAR(E916)</f>
        <v>2023</v>
      </c>
      <c r="E916" s="17">
        <v>45076</v>
      </c>
      <c r="F916" s="4" t="s">
        <v>938</v>
      </c>
      <c r="G916" s="4" t="s">
        <v>19</v>
      </c>
      <c r="H916" s="4">
        <v>26</v>
      </c>
      <c r="I916" s="4" t="str" cm="1">
        <f t="array" ref="I916">_xlfn.IFS(
  H916&lt;30,"Young Adult",
  H916&lt;50,"Adult",
  H916&gt;=50,"Senior"
)</f>
        <v>Young Adult</v>
      </c>
      <c r="J916" s="4" t="s">
        <v>16</v>
      </c>
      <c r="K916" s="4">
        <v>3</v>
      </c>
      <c r="L916" s="5">
        <v>30</v>
      </c>
      <c r="M916" s="5">
        <f xml:space="preserve"> K916*L916</f>
        <v>90</v>
      </c>
      <c r="N916" s="14">
        <f xml:space="preserve"> M916 * $Q$3</f>
        <v>1.3499999999999999</v>
      </c>
      <c r="O916" s="5"/>
    </row>
    <row r="917" spans="1:15">
      <c r="A917" s="2">
        <v>916</v>
      </c>
      <c r="B917" s="4">
        <f>DAY(E917)</f>
        <v>24</v>
      </c>
      <c r="C917" s="4">
        <f>MONTH(E917)</f>
        <v>12</v>
      </c>
      <c r="D917" s="4">
        <f>YEAR(E917)</f>
        <v>2023</v>
      </c>
      <c r="E917" s="3">
        <v>45284</v>
      </c>
      <c r="F917" s="4" t="s">
        <v>939</v>
      </c>
      <c r="G917" s="4" t="s">
        <v>19</v>
      </c>
      <c r="H917" s="4">
        <v>32</v>
      </c>
      <c r="I917" s="4" t="str" cm="1">
        <f t="array" ref="I917">_xlfn.IFS(
  H917&lt;30,"Young Adult",
  H917&lt;50,"Adult",
  H917&gt;=50,"Senior"
)</f>
        <v>Adult</v>
      </c>
      <c r="J917" s="4" t="s">
        <v>23</v>
      </c>
      <c r="K917" s="4">
        <v>1</v>
      </c>
      <c r="L917" s="5">
        <v>50</v>
      </c>
      <c r="M917" s="5">
        <f xml:space="preserve"> K917*L917</f>
        <v>50</v>
      </c>
      <c r="N917" s="14">
        <f xml:space="preserve"> M917 * $Q$3</f>
        <v>0.75</v>
      </c>
      <c r="O917" s="5"/>
    </row>
    <row r="918" spans="1:15">
      <c r="A918" s="2">
        <v>917</v>
      </c>
      <c r="B918" s="4">
        <f>DAY(E918)</f>
        <v>6</v>
      </c>
      <c r="C918" s="4">
        <f>MONTH(E918)</f>
        <v>3</v>
      </c>
      <c r="D918" s="4">
        <f>YEAR(E918)</f>
        <v>2023</v>
      </c>
      <c r="E918" s="17">
        <v>44991</v>
      </c>
      <c r="F918" s="4" t="s">
        <v>940</v>
      </c>
      <c r="G918" s="4" t="s">
        <v>19</v>
      </c>
      <c r="H918" s="4">
        <v>57</v>
      </c>
      <c r="I918" s="4" t="str" cm="1">
        <f t="array" ref="I918">_xlfn.IFS(
  H918&lt;30,"Young Adult",
  H918&lt;50,"Adult",
  H918&gt;=50,"Senior"
)</f>
        <v>Senior</v>
      </c>
      <c r="J918" s="4" t="s">
        <v>23</v>
      </c>
      <c r="K918" s="4">
        <v>4</v>
      </c>
      <c r="L918" s="5">
        <v>50</v>
      </c>
      <c r="M918" s="5">
        <f xml:space="preserve"> K918*L918</f>
        <v>200</v>
      </c>
      <c r="N918" s="14">
        <f xml:space="preserve"> M918 * $Q$3</f>
        <v>3</v>
      </c>
      <c r="O918" s="5"/>
    </row>
    <row r="919" spans="1:15">
      <c r="A919" s="2">
        <v>918</v>
      </c>
      <c r="B919" s="4">
        <f>DAY(E919)</f>
        <v>23</v>
      </c>
      <c r="C919" s="4">
        <f>MONTH(E919)</f>
        <v>11</v>
      </c>
      <c r="D919" s="4">
        <f>YEAR(E919)</f>
        <v>2023</v>
      </c>
      <c r="E919" s="3">
        <v>45253</v>
      </c>
      <c r="F919" s="4" t="s">
        <v>941</v>
      </c>
      <c r="G919" s="4" t="s">
        <v>19</v>
      </c>
      <c r="H919" s="4">
        <v>42</v>
      </c>
      <c r="I919" s="4" t="str" cm="1">
        <f t="array" ref="I919">_xlfn.IFS(
  H919&lt;30,"Young Adult",
  H919&lt;50,"Adult",
  H919&gt;=50,"Senior"
)</f>
        <v>Adult</v>
      </c>
      <c r="J919" s="4" t="s">
        <v>23</v>
      </c>
      <c r="K919" s="4">
        <v>3</v>
      </c>
      <c r="L919" s="5">
        <v>30</v>
      </c>
      <c r="M919" s="5">
        <f xml:space="preserve"> K919*L919</f>
        <v>90</v>
      </c>
      <c r="N919" s="14">
        <f xml:space="preserve"> M919 * $Q$3</f>
        <v>1.3499999999999999</v>
      </c>
      <c r="O919" s="5"/>
    </row>
    <row r="920" spans="1:15">
      <c r="A920" s="2">
        <v>919</v>
      </c>
      <c r="B920" s="4">
        <f>DAY(E920)</f>
        <v>9</v>
      </c>
      <c r="C920" s="4">
        <f>MONTH(E920)</f>
        <v>9</v>
      </c>
      <c r="D920" s="4">
        <f>YEAR(E920)</f>
        <v>2023</v>
      </c>
      <c r="E920" s="17">
        <v>45178</v>
      </c>
      <c r="F920" s="4" t="s">
        <v>942</v>
      </c>
      <c r="G920" s="4" t="s">
        <v>19</v>
      </c>
      <c r="H920" s="4">
        <v>22</v>
      </c>
      <c r="I920" s="4" t="str" cm="1">
        <f t="array" ref="I920">_xlfn.IFS(
  H920&lt;30,"Young Adult",
  H920&lt;50,"Adult",
  H920&gt;=50,"Senior"
)</f>
        <v>Young Adult</v>
      </c>
      <c r="J920" s="4" t="s">
        <v>16</v>
      </c>
      <c r="K920" s="4">
        <v>2</v>
      </c>
      <c r="L920" s="5">
        <v>25</v>
      </c>
      <c r="M920" s="5">
        <f xml:space="preserve"> K920*L920</f>
        <v>50</v>
      </c>
      <c r="N920" s="14">
        <f xml:space="preserve"> M920 * $Q$3</f>
        <v>0.75</v>
      </c>
      <c r="O920" s="5"/>
    </row>
    <row r="921" spans="1:15">
      <c r="A921" s="2">
        <v>920</v>
      </c>
      <c r="B921" s="4">
        <f>DAY(E921)</f>
        <v>22</v>
      </c>
      <c r="C921" s="4">
        <f>MONTH(E921)</f>
        <v>2</v>
      </c>
      <c r="D921" s="4">
        <f>YEAR(E921)</f>
        <v>2023</v>
      </c>
      <c r="E921" s="3">
        <v>44979</v>
      </c>
      <c r="F921" s="4" t="s">
        <v>943</v>
      </c>
      <c r="G921" s="4" t="s">
        <v>19</v>
      </c>
      <c r="H921" s="4">
        <v>28</v>
      </c>
      <c r="I921" s="4" t="str" cm="1">
        <f t="array" ref="I921">_xlfn.IFS(
  H921&lt;30,"Young Adult",
  H921&lt;50,"Adult",
  H921&gt;=50,"Senior"
)</f>
        <v>Young Adult</v>
      </c>
      <c r="J921" s="4" t="s">
        <v>16</v>
      </c>
      <c r="K921" s="4">
        <v>3</v>
      </c>
      <c r="L921" s="5">
        <v>25</v>
      </c>
      <c r="M921" s="5">
        <f xml:space="preserve"> K921*L921</f>
        <v>75</v>
      </c>
      <c r="N921" s="14">
        <f xml:space="preserve"> M921 * $Q$3</f>
        <v>1.125</v>
      </c>
      <c r="O921" s="5"/>
    </row>
    <row r="922" spans="1:15">
      <c r="A922" s="2">
        <v>921</v>
      </c>
      <c r="B922" s="4">
        <f>DAY(E922)</f>
        <v>7</v>
      </c>
      <c r="C922" s="4">
        <f>MONTH(E922)</f>
        <v>1</v>
      </c>
      <c r="D922" s="4">
        <f>YEAR(E922)</f>
        <v>2023</v>
      </c>
      <c r="E922" s="3">
        <v>44933</v>
      </c>
      <c r="F922" s="4" t="s">
        <v>944</v>
      </c>
      <c r="G922" s="4" t="s">
        <v>15</v>
      </c>
      <c r="H922" s="4">
        <v>51</v>
      </c>
      <c r="I922" s="4" t="str" cm="1">
        <f t="array" ref="I922">_xlfn.IFS(
  H922&lt;30,"Young Adult",
  H922&lt;50,"Adult",
  H922&gt;=50,"Senior"
)</f>
        <v>Senior</v>
      </c>
      <c r="J922" s="4" t="s">
        <v>23</v>
      </c>
      <c r="K922" s="4">
        <v>3</v>
      </c>
      <c r="L922" s="5">
        <v>25</v>
      </c>
      <c r="M922" s="5">
        <f xml:space="preserve"> K922*L922</f>
        <v>75</v>
      </c>
      <c r="N922" s="14">
        <f xml:space="preserve"> M922 * $Q$3</f>
        <v>1.125</v>
      </c>
      <c r="O922" s="5"/>
    </row>
    <row r="923" spans="1:15">
      <c r="A923" s="2">
        <v>922</v>
      </c>
      <c r="B923" s="4">
        <f>DAY(E923)</f>
        <v>21</v>
      </c>
      <c r="C923" s="4">
        <f>MONTH(E923)</f>
        <v>10</v>
      </c>
      <c r="D923" s="4">
        <f>YEAR(E923)</f>
        <v>2023</v>
      </c>
      <c r="E923" s="3">
        <v>45220</v>
      </c>
      <c r="F923" s="4" t="s">
        <v>945</v>
      </c>
      <c r="G923" s="4" t="s">
        <v>15</v>
      </c>
      <c r="H923" s="4">
        <v>41</v>
      </c>
      <c r="I923" s="4" t="str" cm="1">
        <f t="array" ref="I923">_xlfn.IFS(
  H923&lt;30,"Young Adult",
  H923&lt;50,"Adult",
  H923&gt;=50,"Senior"
)</f>
        <v>Adult</v>
      </c>
      <c r="J923" s="4" t="s">
        <v>23</v>
      </c>
      <c r="K923" s="4">
        <v>1</v>
      </c>
      <c r="L923" s="5">
        <v>50</v>
      </c>
      <c r="M923" s="5">
        <f xml:space="preserve"> K923*L923</f>
        <v>50</v>
      </c>
      <c r="N923" s="14">
        <f xml:space="preserve"> M923 * $Q$3</f>
        <v>0.75</v>
      </c>
      <c r="O923" s="5"/>
    </row>
    <row r="924" spans="1:15">
      <c r="A924" s="2">
        <v>923</v>
      </c>
      <c r="B924" s="4">
        <f>DAY(E924)</f>
        <v>26</v>
      </c>
      <c r="C924" s="4">
        <f>MONTH(E924)</f>
        <v>5</v>
      </c>
      <c r="D924" s="4">
        <f>YEAR(E924)</f>
        <v>2023</v>
      </c>
      <c r="E924" s="17">
        <v>45072</v>
      </c>
      <c r="F924" s="4" t="s">
        <v>946</v>
      </c>
      <c r="G924" s="4" t="s">
        <v>15</v>
      </c>
      <c r="H924" s="4">
        <v>32</v>
      </c>
      <c r="I924" s="4" t="str" cm="1">
        <f t="array" ref="I924">_xlfn.IFS(
  H924&lt;30,"Young Adult",
  H924&lt;50,"Adult",
  H924&gt;=50,"Senior"
)</f>
        <v>Adult</v>
      </c>
      <c r="J924" s="4" t="s">
        <v>16</v>
      </c>
      <c r="K924" s="4">
        <v>3</v>
      </c>
      <c r="L924" s="5">
        <v>300</v>
      </c>
      <c r="M924" s="5">
        <f xml:space="preserve"> K924*L924</f>
        <v>900</v>
      </c>
      <c r="N924" s="14">
        <f xml:space="preserve"> M924 * $Q$3</f>
        <v>13.5</v>
      </c>
      <c r="O924" s="5"/>
    </row>
    <row r="925" spans="1:15">
      <c r="A925" s="2">
        <v>924</v>
      </c>
      <c r="B925" s="4">
        <f>DAY(E925)</f>
        <v>29</v>
      </c>
      <c r="C925" s="4">
        <f>MONTH(E925)</f>
        <v>8</v>
      </c>
      <c r="D925" s="4">
        <f>YEAR(E925)</f>
        <v>2023</v>
      </c>
      <c r="E925" s="3">
        <v>45167</v>
      </c>
      <c r="F925" s="4" t="s">
        <v>947</v>
      </c>
      <c r="G925" s="4" t="s">
        <v>15</v>
      </c>
      <c r="H925" s="4">
        <v>55</v>
      </c>
      <c r="I925" s="4" t="str" cm="1">
        <f t="array" ref="I925">_xlfn.IFS(
  H925&lt;30,"Young Adult",
  H925&lt;50,"Adult",
  H925&gt;=50,"Senior"
)</f>
        <v>Senior</v>
      </c>
      <c r="J925" s="4" t="s">
        <v>16</v>
      </c>
      <c r="K925" s="4">
        <v>2</v>
      </c>
      <c r="L925" s="5">
        <v>50</v>
      </c>
      <c r="M925" s="5">
        <f xml:space="preserve"> K925*L925</f>
        <v>100</v>
      </c>
      <c r="N925" s="14">
        <f xml:space="preserve"> M925 * $Q$3</f>
        <v>1.5</v>
      </c>
      <c r="O925" s="5"/>
    </row>
    <row r="926" spans="1:15">
      <c r="A926" s="2">
        <v>925</v>
      </c>
      <c r="B926" s="4">
        <f>DAY(E926)</f>
        <v>3</v>
      </c>
      <c r="C926" s="4">
        <f>MONTH(E926)</f>
        <v>9</v>
      </c>
      <c r="D926" s="4">
        <f>YEAR(E926)</f>
        <v>2023</v>
      </c>
      <c r="E926" s="3">
        <v>45172</v>
      </c>
      <c r="F926" s="4" t="s">
        <v>948</v>
      </c>
      <c r="G926" s="4" t="s">
        <v>15</v>
      </c>
      <c r="H926" s="4">
        <v>25</v>
      </c>
      <c r="I926" s="4" t="str" cm="1">
        <f t="array" ref="I926">_xlfn.IFS(
  H926&lt;30,"Young Adult",
  H926&lt;50,"Adult",
  H926&gt;=50,"Senior"
)</f>
        <v>Young Adult</v>
      </c>
      <c r="J926" s="4" t="s">
        <v>23</v>
      </c>
      <c r="K926" s="4">
        <v>1</v>
      </c>
      <c r="L926" s="5">
        <v>300</v>
      </c>
      <c r="M926" s="5">
        <f xml:space="preserve"> K926*L926</f>
        <v>300</v>
      </c>
      <c r="N926" s="14">
        <f xml:space="preserve"> M926 * $Q$3</f>
        <v>4.5</v>
      </c>
      <c r="O926" s="5"/>
    </row>
    <row r="927" spans="1:15">
      <c r="A927" s="2">
        <v>926</v>
      </c>
      <c r="B927" s="4">
        <f>DAY(E927)</f>
        <v>14</v>
      </c>
      <c r="C927" s="4">
        <f>MONTH(E927)</f>
        <v>8</v>
      </c>
      <c r="D927" s="4">
        <f>YEAR(E927)</f>
        <v>2023</v>
      </c>
      <c r="E927" s="3">
        <v>45152</v>
      </c>
      <c r="F927" s="4" t="s">
        <v>949</v>
      </c>
      <c r="G927" s="4" t="s">
        <v>15</v>
      </c>
      <c r="H927" s="4">
        <v>22</v>
      </c>
      <c r="I927" s="4" t="str" cm="1">
        <f t="array" ref="I927">_xlfn.IFS(
  H927&lt;30,"Young Adult",
  H927&lt;50,"Adult",
  H927&gt;=50,"Senior"
)</f>
        <v>Young Adult</v>
      </c>
      <c r="J927" s="4" t="s">
        <v>23</v>
      </c>
      <c r="K927" s="4">
        <v>1</v>
      </c>
      <c r="L927" s="5">
        <v>30</v>
      </c>
      <c r="M927" s="5">
        <f xml:space="preserve"> K927*L927</f>
        <v>30</v>
      </c>
      <c r="N927" s="14">
        <f xml:space="preserve"> M927 * $Q$3</f>
        <v>0.44999999999999996</v>
      </c>
      <c r="O927" s="5"/>
    </row>
    <row r="928" spans="1:15">
      <c r="A928" s="2">
        <v>927</v>
      </c>
      <c r="B928" s="4">
        <f>DAY(E928)</f>
        <v>24</v>
      </c>
      <c r="C928" s="4">
        <f>MONTH(E928)</f>
        <v>6</v>
      </c>
      <c r="D928" s="4">
        <f>YEAR(E928)</f>
        <v>2023</v>
      </c>
      <c r="E928" s="3">
        <v>45101</v>
      </c>
      <c r="F928" s="4" t="s">
        <v>950</v>
      </c>
      <c r="G928" s="4" t="s">
        <v>15</v>
      </c>
      <c r="H928" s="4">
        <v>43</v>
      </c>
      <c r="I928" s="4" t="str" cm="1">
        <f t="array" ref="I928">_xlfn.IFS(
  H928&lt;30,"Young Adult",
  H928&lt;50,"Adult",
  H928&gt;=50,"Senior"
)</f>
        <v>Adult</v>
      </c>
      <c r="J928" s="4" t="s">
        <v>23</v>
      </c>
      <c r="K928" s="4">
        <v>4</v>
      </c>
      <c r="L928" s="5">
        <v>500</v>
      </c>
      <c r="M928" s="5">
        <f xml:space="preserve"> K928*L928</f>
        <v>2000</v>
      </c>
      <c r="N928" s="14">
        <f xml:space="preserve"> M928 * $Q$3</f>
        <v>30</v>
      </c>
      <c r="O928" s="5"/>
    </row>
    <row r="929" spans="1:15">
      <c r="A929" s="2">
        <v>928</v>
      </c>
      <c r="B929" s="4">
        <f>DAY(E929)</f>
        <v>5</v>
      </c>
      <c r="C929" s="4">
        <f>MONTH(E929)</f>
        <v>4</v>
      </c>
      <c r="D929" s="4">
        <f>YEAR(E929)</f>
        <v>2023</v>
      </c>
      <c r="E929" s="17">
        <v>45021</v>
      </c>
      <c r="F929" s="4" t="s">
        <v>951</v>
      </c>
      <c r="G929" s="4" t="s">
        <v>19</v>
      </c>
      <c r="H929" s="4">
        <v>35</v>
      </c>
      <c r="I929" s="4" t="str" cm="1">
        <f t="array" ref="I929">_xlfn.IFS(
  H929&lt;30,"Young Adult",
  H929&lt;50,"Adult",
  H929&gt;=50,"Senior"
)</f>
        <v>Adult</v>
      </c>
      <c r="J929" s="4" t="s">
        <v>20</v>
      </c>
      <c r="K929" s="4">
        <v>4</v>
      </c>
      <c r="L929" s="5">
        <v>300</v>
      </c>
      <c r="M929" s="5">
        <f xml:space="preserve"> K929*L929</f>
        <v>1200</v>
      </c>
      <c r="N929" s="14">
        <f xml:space="preserve"> M929 * $Q$3</f>
        <v>18</v>
      </c>
      <c r="O929" s="5"/>
    </row>
    <row r="930" spans="1:15">
      <c r="A930" s="2">
        <v>929</v>
      </c>
      <c r="B930" s="4">
        <f>DAY(E930)</f>
        <v>27</v>
      </c>
      <c r="C930" s="4">
        <f>MONTH(E930)</f>
        <v>1</v>
      </c>
      <c r="D930" s="4">
        <f>YEAR(E930)</f>
        <v>2023</v>
      </c>
      <c r="E930" s="3">
        <v>44953</v>
      </c>
      <c r="F930" s="4" t="s">
        <v>952</v>
      </c>
      <c r="G930" s="4" t="s">
        <v>19</v>
      </c>
      <c r="H930" s="4">
        <v>23</v>
      </c>
      <c r="I930" s="4" t="str" cm="1">
        <f t="array" ref="I930">_xlfn.IFS(
  H930&lt;30,"Young Adult",
  H930&lt;50,"Adult",
  H930&gt;=50,"Senior"
)</f>
        <v>Young Adult</v>
      </c>
      <c r="J930" s="4" t="s">
        <v>16</v>
      </c>
      <c r="K930" s="4">
        <v>3</v>
      </c>
      <c r="L930" s="5">
        <v>25</v>
      </c>
      <c r="M930" s="5">
        <f xml:space="preserve"> K930*L930</f>
        <v>75</v>
      </c>
      <c r="N930" s="14">
        <f xml:space="preserve"> M930 * $Q$3</f>
        <v>1.125</v>
      </c>
      <c r="O930" s="5"/>
    </row>
    <row r="931" spans="1:15">
      <c r="A931" s="2">
        <v>930</v>
      </c>
      <c r="B931" s="4">
        <f>DAY(E931)</f>
        <v>10</v>
      </c>
      <c r="C931" s="4">
        <f>MONTH(E931)</f>
        <v>5</v>
      </c>
      <c r="D931" s="4">
        <f>YEAR(E931)</f>
        <v>2023</v>
      </c>
      <c r="E931" s="17">
        <v>45056</v>
      </c>
      <c r="F931" s="4" t="s">
        <v>953</v>
      </c>
      <c r="G931" s="4" t="s">
        <v>15</v>
      </c>
      <c r="H931" s="4">
        <v>54</v>
      </c>
      <c r="I931" s="4" t="str" cm="1">
        <f t="array" ref="I931">_xlfn.IFS(
  H931&lt;30,"Young Adult",
  H931&lt;50,"Adult",
  H931&gt;=50,"Senior"
)</f>
        <v>Senior</v>
      </c>
      <c r="J931" s="4" t="s">
        <v>20</v>
      </c>
      <c r="K931" s="4">
        <v>4</v>
      </c>
      <c r="L931" s="5">
        <v>50</v>
      </c>
      <c r="M931" s="5">
        <f xml:space="preserve"> K931*L931</f>
        <v>200</v>
      </c>
      <c r="N931" s="14">
        <f xml:space="preserve"> M931 * $Q$3</f>
        <v>3</v>
      </c>
      <c r="O931" s="5"/>
    </row>
    <row r="932" spans="1:15">
      <c r="A932" s="2">
        <v>931</v>
      </c>
      <c r="B932" s="4">
        <f>DAY(E932)</f>
        <v>2</v>
      </c>
      <c r="C932" s="4">
        <f>MONTH(E932)</f>
        <v>9</v>
      </c>
      <c r="D932" s="4">
        <f>YEAR(E932)</f>
        <v>2023</v>
      </c>
      <c r="E932" s="3">
        <v>45171</v>
      </c>
      <c r="F932" s="4" t="s">
        <v>954</v>
      </c>
      <c r="G932" s="4" t="s">
        <v>15</v>
      </c>
      <c r="H932" s="4">
        <v>30</v>
      </c>
      <c r="I932" s="4" t="str" cm="1">
        <f t="array" ref="I932">_xlfn.IFS(
  H932&lt;30,"Young Adult",
  H932&lt;50,"Adult",
  H932&gt;=50,"Senior"
)</f>
        <v>Adult</v>
      </c>
      <c r="J932" s="4" t="s">
        <v>16</v>
      </c>
      <c r="K932" s="4">
        <v>4</v>
      </c>
      <c r="L932" s="5">
        <v>30</v>
      </c>
      <c r="M932" s="5">
        <f xml:space="preserve"> K932*L932</f>
        <v>120</v>
      </c>
      <c r="N932" s="14">
        <f xml:space="preserve"> M932 * $Q$3</f>
        <v>1.7999999999999998</v>
      </c>
      <c r="O932" s="5"/>
    </row>
    <row r="933" spans="1:15">
      <c r="A933" s="2">
        <v>932</v>
      </c>
      <c r="B933" s="4">
        <f>DAY(E933)</f>
        <v>28</v>
      </c>
      <c r="C933" s="4">
        <f>MONTH(E933)</f>
        <v>2</v>
      </c>
      <c r="D933" s="4">
        <f>YEAR(E933)</f>
        <v>2023</v>
      </c>
      <c r="E933" s="3">
        <v>44985</v>
      </c>
      <c r="F933" s="4" t="s">
        <v>955</v>
      </c>
      <c r="G933" s="4" t="s">
        <v>19</v>
      </c>
      <c r="H933" s="4">
        <v>45</v>
      </c>
      <c r="I933" s="4" t="str" cm="1">
        <f t="array" ref="I933">_xlfn.IFS(
  H933&lt;30,"Young Adult",
  H933&lt;50,"Adult",
  H933&gt;=50,"Senior"
)</f>
        <v>Adult</v>
      </c>
      <c r="J933" s="4" t="s">
        <v>16</v>
      </c>
      <c r="K933" s="4">
        <v>4</v>
      </c>
      <c r="L933" s="5">
        <v>25</v>
      </c>
      <c r="M933" s="5">
        <f xml:space="preserve"> K933*L933</f>
        <v>100</v>
      </c>
      <c r="N933" s="14">
        <f xml:space="preserve"> M933 * $Q$3</f>
        <v>1.5</v>
      </c>
      <c r="O933" s="5"/>
    </row>
    <row r="934" spans="1:15">
      <c r="A934" s="2">
        <v>933</v>
      </c>
      <c r="B934" s="4">
        <f>DAY(E934)</f>
        <v>3</v>
      </c>
      <c r="C934" s="4">
        <f>MONTH(E934)</f>
        <v>2</v>
      </c>
      <c r="D934" s="4">
        <f>YEAR(E934)</f>
        <v>2023</v>
      </c>
      <c r="E934" s="3">
        <v>44960</v>
      </c>
      <c r="F934" s="4" t="s">
        <v>956</v>
      </c>
      <c r="G934" s="4" t="s">
        <v>15</v>
      </c>
      <c r="H934" s="4">
        <v>22</v>
      </c>
      <c r="I934" s="4" t="str" cm="1">
        <f t="array" ref="I934">_xlfn.IFS(
  H934&lt;30,"Young Adult",
  H934&lt;50,"Adult",
  H934&gt;=50,"Senior"
)</f>
        <v>Young Adult</v>
      </c>
      <c r="J934" s="4" t="s">
        <v>16</v>
      </c>
      <c r="K934" s="4">
        <v>1</v>
      </c>
      <c r="L934" s="5">
        <v>30</v>
      </c>
      <c r="M934" s="5">
        <f xml:space="preserve"> K934*L934</f>
        <v>30</v>
      </c>
      <c r="N934" s="14">
        <f xml:space="preserve"> M934 * $Q$3</f>
        <v>0.44999999999999996</v>
      </c>
      <c r="O934" s="5"/>
    </row>
    <row r="935" spans="1:15">
      <c r="A935" s="2">
        <v>934</v>
      </c>
      <c r="B935" s="4">
        <f>DAY(E935)</f>
        <v>25</v>
      </c>
      <c r="C935" s="4">
        <f>MONTH(E935)</f>
        <v>7</v>
      </c>
      <c r="D935" s="4">
        <f>YEAR(E935)</f>
        <v>2023</v>
      </c>
      <c r="E935" s="3">
        <v>45132</v>
      </c>
      <c r="F935" s="4" t="s">
        <v>957</v>
      </c>
      <c r="G935" s="4" t="s">
        <v>15</v>
      </c>
      <c r="H935" s="4">
        <v>30</v>
      </c>
      <c r="I935" s="4" t="str" cm="1">
        <f t="array" ref="I935">_xlfn.IFS(
  H935&lt;30,"Young Adult",
  H935&lt;50,"Adult",
  H935&gt;=50,"Senior"
)</f>
        <v>Adult</v>
      </c>
      <c r="J935" s="4" t="s">
        <v>16</v>
      </c>
      <c r="K935" s="4">
        <v>1</v>
      </c>
      <c r="L935" s="5">
        <v>500</v>
      </c>
      <c r="M935" s="5">
        <f xml:space="preserve"> K935*L935</f>
        <v>500</v>
      </c>
      <c r="N935" s="14">
        <f xml:space="preserve"> M935 * $Q$3</f>
        <v>7.5</v>
      </c>
      <c r="O935" s="5"/>
    </row>
    <row r="936" spans="1:15">
      <c r="A936" s="2">
        <v>935</v>
      </c>
      <c r="B936" s="4">
        <f>DAY(E936)</f>
        <v>9</v>
      </c>
      <c r="C936" s="4">
        <f>MONTH(E936)</f>
        <v>9</v>
      </c>
      <c r="D936" s="4">
        <f>YEAR(E936)</f>
        <v>2023</v>
      </c>
      <c r="E936" s="17">
        <v>45178</v>
      </c>
      <c r="F936" s="4" t="s">
        <v>958</v>
      </c>
      <c r="G936" s="4" t="s">
        <v>19</v>
      </c>
      <c r="H936" s="4">
        <v>34</v>
      </c>
      <c r="I936" s="4" t="str" cm="1">
        <f t="array" ref="I936">_xlfn.IFS(
  H936&lt;30,"Young Adult",
  H936&lt;50,"Adult",
  H936&gt;=50,"Senior"
)</f>
        <v>Adult</v>
      </c>
      <c r="J936" s="4" t="s">
        <v>16</v>
      </c>
      <c r="K936" s="4">
        <v>1</v>
      </c>
      <c r="L936" s="5">
        <v>50</v>
      </c>
      <c r="M936" s="5">
        <f xml:space="preserve"> K936*L936</f>
        <v>50</v>
      </c>
      <c r="N936" s="14">
        <f xml:space="preserve"> M936 * $Q$3</f>
        <v>0.75</v>
      </c>
      <c r="O936" s="5"/>
    </row>
    <row r="937" spans="1:15">
      <c r="A937" s="2">
        <v>936</v>
      </c>
      <c r="B937" s="4">
        <f>DAY(E937)</f>
        <v>7</v>
      </c>
      <c r="C937" s="4">
        <f>MONTH(E937)</f>
        <v>2</v>
      </c>
      <c r="D937" s="4">
        <f>YEAR(E937)</f>
        <v>2023</v>
      </c>
      <c r="E937" s="3">
        <v>44964</v>
      </c>
      <c r="F937" s="4" t="s">
        <v>959</v>
      </c>
      <c r="G937" s="4" t="s">
        <v>15</v>
      </c>
      <c r="H937" s="4">
        <v>57</v>
      </c>
      <c r="I937" s="4" t="str" cm="1">
        <f t="array" ref="I937">_xlfn.IFS(
  H937&lt;30,"Young Adult",
  H937&lt;50,"Adult",
  H937&gt;=50,"Senior"
)</f>
        <v>Senior</v>
      </c>
      <c r="J937" s="4" t="s">
        <v>16</v>
      </c>
      <c r="K937" s="4">
        <v>4</v>
      </c>
      <c r="L937" s="5">
        <v>50</v>
      </c>
      <c r="M937" s="5">
        <f xml:space="preserve"> K937*L937</f>
        <v>200</v>
      </c>
      <c r="N937" s="14">
        <f xml:space="preserve"> M937 * $Q$3</f>
        <v>3</v>
      </c>
      <c r="O937" s="5"/>
    </row>
    <row r="938" spans="1:15">
      <c r="A938" s="2">
        <v>937</v>
      </c>
      <c r="B938" s="4">
        <f>DAY(E938)</f>
        <v>23</v>
      </c>
      <c r="C938" s="4">
        <f>MONTH(E938)</f>
        <v>10</v>
      </c>
      <c r="D938" s="4">
        <f>YEAR(E938)</f>
        <v>2023</v>
      </c>
      <c r="E938" s="3">
        <v>45222</v>
      </c>
      <c r="F938" s="4" t="s">
        <v>960</v>
      </c>
      <c r="G938" s="4" t="s">
        <v>19</v>
      </c>
      <c r="H938" s="4">
        <v>62</v>
      </c>
      <c r="I938" s="4" t="str" cm="1">
        <f t="array" ref="I938">_xlfn.IFS(
  H938&lt;30,"Young Adult",
  H938&lt;50,"Adult",
  H938&gt;=50,"Senior"
)</f>
        <v>Senior</v>
      </c>
      <c r="J938" s="4" t="s">
        <v>16</v>
      </c>
      <c r="K938" s="4">
        <v>1</v>
      </c>
      <c r="L938" s="5">
        <v>500</v>
      </c>
      <c r="M938" s="5">
        <f xml:space="preserve"> K938*L938</f>
        <v>500</v>
      </c>
      <c r="N938" s="14">
        <f xml:space="preserve"> M938 * $Q$3</f>
        <v>7.5</v>
      </c>
      <c r="O938" s="5"/>
    </row>
    <row r="939" spans="1:15">
      <c r="A939" s="2">
        <v>938</v>
      </c>
      <c r="B939" s="4">
        <f>DAY(E939)</f>
        <v>19</v>
      </c>
      <c r="C939" s="4">
        <f>MONTH(E939)</f>
        <v>11</v>
      </c>
      <c r="D939" s="4">
        <f>YEAR(E939)</f>
        <v>2023</v>
      </c>
      <c r="E939" s="3">
        <v>45249</v>
      </c>
      <c r="F939" s="4" t="s">
        <v>961</v>
      </c>
      <c r="G939" s="4" t="s">
        <v>15</v>
      </c>
      <c r="H939" s="4">
        <v>49</v>
      </c>
      <c r="I939" s="4" t="str" cm="1">
        <f t="array" ref="I939">_xlfn.IFS(
  H939&lt;30,"Young Adult",
  H939&lt;50,"Adult",
  H939&gt;=50,"Senior"
)</f>
        <v>Adult</v>
      </c>
      <c r="J939" s="4" t="s">
        <v>20</v>
      </c>
      <c r="K939" s="4">
        <v>4</v>
      </c>
      <c r="L939" s="5">
        <v>50</v>
      </c>
      <c r="M939" s="5">
        <f xml:space="preserve"> K939*L939</f>
        <v>200</v>
      </c>
      <c r="N939" s="14">
        <f xml:space="preserve"> M939 * $Q$3</f>
        <v>3</v>
      </c>
      <c r="O939" s="5"/>
    </row>
    <row r="940" spans="1:15">
      <c r="A940" s="2">
        <v>939</v>
      </c>
      <c r="B940" s="4">
        <f>DAY(E940)</f>
        <v>18</v>
      </c>
      <c r="C940" s="4">
        <f>MONTH(E940)</f>
        <v>12</v>
      </c>
      <c r="D940" s="4">
        <f>YEAR(E940)</f>
        <v>2023</v>
      </c>
      <c r="E940" s="3">
        <v>45278</v>
      </c>
      <c r="F940" s="4" t="s">
        <v>962</v>
      </c>
      <c r="G940" s="4" t="s">
        <v>19</v>
      </c>
      <c r="H940" s="4">
        <v>46</v>
      </c>
      <c r="I940" s="4" t="str" cm="1">
        <f t="array" ref="I940">_xlfn.IFS(
  H940&lt;30,"Young Adult",
  H940&lt;50,"Adult",
  H940&gt;=50,"Senior"
)</f>
        <v>Adult</v>
      </c>
      <c r="J940" s="4" t="s">
        <v>23</v>
      </c>
      <c r="K940" s="4">
        <v>1</v>
      </c>
      <c r="L940" s="5">
        <v>300</v>
      </c>
      <c r="M940" s="5">
        <f xml:space="preserve"> K940*L940</f>
        <v>300</v>
      </c>
      <c r="N940" s="14">
        <f xml:space="preserve"> M940 * $Q$3</f>
        <v>4.5</v>
      </c>
      <c r="O940" s="5"/>
    </row>
    <row r="941" spans="1:15">
      <c r="A941" s="2">
        <v>940</v>
      </c>
      <c r="B941" s="4">
        <f>DAY(E941)</f>
        <v>28</v>
      </c>
      <c r="C941" s="4">
        <f>MONTH(E941)</f>
        <v>1</v>
      </c>
      <c r="D941" s="4">
        <f>YEAR(E941)</f>
        <v>2023</v>
      </c>
      <c r="E941" s="3">
        <v>44954</v>
      </c>
      <c r="F941" s="4" t="s">
        <v>963</v>
      </c>
      <c r="G941" s="4" t="s">
        <v>19</v>
      </c>
      <c r="H941" s="4">
        <v>20</v>
      </c>
      <c r="I941" s="4" t="str" cm="1">
        <f t="array" ref="I941">_xlfn.IFS(
  H941&lt;30,"Young Adult",
  H941&lt;50,"Adult",
  H941&gt;=50,"Senior"
)</f>
        <v>Young Adult</v>
      </c>
      <c r="J941" s="4" t="s">
        <v>23</v>
      </c>
      <c r="K941" s="4">
        <v>1</v>
      </c>
      <c r="L941" s="5">
        <v>30</v>
      </c>
      <c r="M941" s="5">
        <f xml:space="preserve"> K941*L941</f>
        <v>30</v>
      </c>
      <c r="N941" s="14">
        <f xml:space="preserve"> M941 * $Q$3</f>
        <v>0.44999999999999996</v>
      </c>
      <c r="O941" s="5"/>
    </row>
    <row r="942" spans="1:15">
      <c r="A942" s="2">
        <v>941</v>
      </c>
      <c r="B942" s="4">
        <f>DAY(E942)</f>
        <v>19</v>
      </c>
      <c r="C942" s="4">
        <f>MONTH(E942)</f>
        <v>3</v>
      </c>
      <c r="D942" s="4">
        <f>YEAR(E942)</f>
        <v>2023</v>
      </c>
      <c r="E942" s="17">
        <v>45004</v>
      </c>
      <c r="F942" s="4" t="s">
        <v>964</v>
      </c>
      <c r="G942" s="4" t="s">
        <v>19</v>
      </c>
      <c r="H942" s="4">
        <v>57</v>
      </c>
      <c r="I942" s="4" t="str" cm="1">
        <f t="array" ref="I942">_xlfn.IFS(
  H942&lt;30,"Young Adult",
  H942&lt;50,"Adult",
  H942&gt;=50,"Senior"
)</f>
        <v>Senior</v>
      </c>
      <c r="J942" s="4" t="s">
        <v>20</v>
      </c>
      <c r="K942" s="4">
        <v>2</v>
      </c>
      <c r="L942" s="5">
        <v>25</v>
      </c>
      <c r="M942" s="5">
        <f xml:space="preserve"> K942*L942</f>
        <v>50</v>
      </c>
      <c r="N942" s="14">
        <f xml:space="preserve"> M942 * $Q$3</f>
        <v>0.75</v>
      </c>
      <c r="O942" s="5"/>
    </row>
    <row r="943" spans="1:15">
      <c r="A943" s="2">
        <v>942</v>
      </c>
      <c r="B943" s="4">
        <f>DAY(E943)</f>
        <v>18</v>
      </c>
      <c r="C943" s="4">
        <f>MONTH(E943)</f>
        <v>3</v>
      </c>
      <c r="D943" s="4">
        <f>YEAR(E943)</f>
        <v>2023</v>
      </c>
      <c r="E943" s="17">
        <v>45003</v>
      </c>
      <c r="F943" s="4" t="s">
        <v>965</v>
      </c>
      <c r="G943" s="4" t="s">
        <v>15</v>
      </c>
      <c r="H943" s="4">
        <v>51</v>
      </c>
      <c r="I943" s="4" t="str" cm="1">
        <f t="array" ref="I943">_xlfn.IFS(
  H943&lt;30,"Young Adult",
  H943&lt;50,"Adult",
  H943&gt;=50,"Senior"
)</f>
        <v>Senior</v>
      </c>
      <c r="J943" s="4" t="s">
        <v>20</v>
      </c>
      <c r="K943" s="4">
        <v>3</v>
      </c>
      <c r="L943" s="5">
        <v>500</v>
      </c>
      <c r="M943" s="5">
        <f xml:space="preserve"> K943*L943</f>
        <v>1500</v>
      </c>
      <c r="N943" s="14">
        <f xml:space="preserve"> M943 * $Q$3</f>
        <v>22.5</v>
      </c>
      <c r="O943" s="5"/>
    </row>
    <row r="944" spans="1:15">
      <c r="A944" s="2">
        <v>943</v>
      </c>
      <c r="B944" s="4">
        <f>DAY(E944)</f>
        <v>16</v>
      </c>
      <c r="C944" s="4">
        <f>MONTH(E944)</f>
        <v>10</v>
      </c>
      <c r="D944" s="4">
        <f>YEAR(E944)</f>
        <v>2023</v>
      </c>
      <c r="E944" s="3">
        <v>45215</v>
      </c>
      <c r="F944" s="4" t="s">
        <v>966</v>
      </c>
      <c r="G944" s="4" t="s">
        <v>19</v>
      </c>
      <c r="H944" s="4">
        <v>57</v>
      </c>
      <c r="I944" s="4" t="str" cm="1">
        <f t="array" ref="I944">_xlfn.IFS(
  H944&lt;30,"Young Adult",
  H944&lt;50,"Adult",
  H944&gt;=50,"Senior"
)</f>
        <v>Senior</v>
      </c>
      <c r="J944" s="4" t="s">
        <v>20</v>
      </c>
      <c r="K944" s="4">
        <v>4</v>
      </c>
      <c r="L944" s="5">
        <v>300</v>
      </c>
      <c r="M944" s="5">
        <f xml:space="preserve"> K944*L944</f>
        <v>1200</v>
      </c>
      <c r="N944" s="14">
        <f xml:space="preserve"> M944 * $Q$3</f>
        <v>18</v>
      </c>
      <c r="O944" s="5"/>
    </row>
    <row r="945" spans="1:15">
      <c r="A945" s="2">
        <v>944</v>
      </c>
      <c r="B945" s="4">
        <f>DAY(E945)</f>
        <v>5</v>
      </c>
      <c r="C945" s="4">
        <f>MONTH(E945)</f>
        <v>6</v>
      </c>
      <c r="D945" s="4">
        <f>YEAR(E945)</f>
        <v>2023</v>
      </c>
      <c r="E945" s="3">
        <v>45082</v>
      </c>
      <c r="F945" s="4" t="s">
        <v>967</v>
      </c>
      <c r="G945" s="4" t="s">
        <v>15</v>
      </c>
      <c r="H945" s="4">
        <v>44</v>
      </c>
      <c r="I945" s="4" t="str" cm="1">
        <f t="array" ref="I945">_xlfn.IFS(
  H945&lt;30,"Young Adult",
  H945&lt;50,"Adult",
  H945&gt;=50,"Senior"
)</f>
        <v>Adult</v>
      </c>
      <c r="J945" s="4" t="s">
        <v>20</v>
      </c>
      <c r="K945" s="4">
        <v>2</v>
      </c>
      <c r="L945" s="5">
        <v>25</v>
      </c>
      <c r="M945" s="5">
        <f xml:space="preserve"> K945*L945</f>
        <v>50</v>
      </c>
      <c r="N945" s="14">
        <f xml:space="preserve"> M945 * $Q$3</f>
        <v>0.75</v>
      </c>
      <c r="O945" s="5"/>
    </row>
    <row r="946" spans="1:15">
      <c r="A946" s="2">
        <v>945</v>
      </c>
      <c r="B946" s="4">
        <f>DAY(E946)</f>
        <v>13</v>
      </c>
      <c r="C946" s="4">
        <f>MONTH(E946)</f>
        <v>2</v>
      </c>
      <c r="D946" s="4">
        <f>YEAR(E946)</f>
        <v>2023</v>
      </c>
      <c r="E946" s="3">
        <v>44970</v>
      </c>
      <c r="F946" s="4" t="s">
        <v>968</v>
      </c>
      <c r="G946" s="4" t="s">
        <v>15</v>
      </c>
      <c r="H946" s="4">
        <v>30</v>
      </c>
      <c r="I946" s="4" t="str" cm="1">
        <f t="array" ref="I946">_xlfn.IFS(
  H946&lt;30,"Young Adult",
  H946&lt;50,"Adult",
  H946&gt;=50,"Senior"
)</f>
        <v>Adult</v>
      </c>
      <c r="J946" s="4" t="s">
        <v>16</v>
      </c>
      <c r="K946" s="4">
        <v>1</v>
      </c>
      <c r="L946" s="5">
        <v>25</v>
      </c>
      <c r="M946" s="5">
        <f xml:space="preserve"> K946*L946</f>
        <v>25</v>
      </c>
      <c r="N946" s="14">
        <f xml:space="preserve"> M946 * $Q$3</f>
        <v>0.375</v>
      </c>
      <c r="O946" s="5"/>
    </row>
    <row r="947" spans="1:15">
      <c r="A947" s="2">
        <v>946</v>
      </c>
      <c r="B947" s="4">
        <f>DAY(E947)</f>
        <v>8</v>
      </c>
      <c r="C947" s="4">
        <f>MONTH(E947)</f>
        <v>5</v>
      </c>
      <c r="D947" s="4">
        <f>YEAR(E947)</f>
        <v>2023</v>
      </c>
      <c r="E947" s="17">
        <v>45054</v>
      </c>
      <c r="F947" s="4" t="s">
        <v>969</v>
      </c>
      <c r="G947" s="4" t="s">
        <v>15</v>
      </c>
      <c r="H947" s="4">
        <v>62</v>
      </c>
      <c r="I947" s="4" t="str" cm="1">
        <f t="array" ref="I947">_xlfn.IFS(
  H947&lt;30,"Young Adult",
  H947&lt;50,"Adult",
  H947&gt;=50,"Senior"
)</f>
        <v>Senior</v>
      </c>
      <c r="J947" s="4" t="s">
        <v>23</v>
      </c>
      <c r="K947" s="4">
        <v>4</v>
      </c>
      <c r="L947" s="5">
        <v>500</v>
      </c>
      <c r="M947" s="5">
        <f xml:space="preserve"> K947*L947</f>
        <v>2000</v>
      </c>
      <c r="N947" s="14">
        <f xml:space="preserve"> M947 * $Q$3</f>
        <v>30</v>
      </c>
      <c r="O947" s="5"/>
    </row>
    <row r="948" spans="1:15">
      <c r="A948" s="2">
        <v>947</v>
      </c>
      <c r="B948" s="4">
        <f>DAY(E948)</f>
        <v>2</v>
      </c>
      <c r="C948" s="4">
        <f>MONTH(E948)</f>
        <v>3</v>
      </c>
      <c r="D948" s="4">
        <f>YEAR(E948)</f>
        <v>2023</v>
      </c>
      <c r="E948" s="17">
        <v>44987</v>
      </c>
      <c r="F948" s="4" t="s">
        <v>970</v>
      </c>
      <c r="G948" s="4" t="s">
        <v>15</v>
      </c>
      <c r="H948" s="4">
        <v>50</v>
      </c>
      <c r="I948" s="4" t="str" cm="1">
        <f t="array" ref="I948">_xlfn.IFS(
  H948&lt;30,"Young Adult",
  H948&lt;50,"Adult",
  H948&gt;=50,"Senior"
)</f>
        <v>Senior</v>
      </c>
      <c r="J948" s="4" t="s">
        <v>16</v>
      </c>
      <c r="K948" s="4">
        <v>1</v>
      </c>
      <c r="L948" s="5">
        <v>300</v>
      </c>
      <c r="M948" s="5">
        <f xml:space="preserve"> K948*L948</f>
        <v>300</v>
      </c>
      <c r="N948" s="14">
        <f xml:space="preserve"> M948 * $Q$3</f>
        <v>4.5</v>
      </c>
      <c r="O948" s="5"/>
    </row>
    <row r="949" spans="1:15">
      <c r="A949" s="2">
        <v>948</v>
      </c>
      <c r="B949" s="4">
        <f>DAY(E949)</f>
        <v>13</v>
      </c>
      <c r="C949" s="4">
        <f>MONTH(E949)</f>
        <v>10</v>
      </c>
      <c r="D949" s="4">
        <f>YEAR(E949)</f>
        <v>2023</v>
      </c>
      <c r="E949" s="3">
        <v>45212</v>
      </c>
      <c r="F949" s="4" t="s">
        <v>971</v>
      </c>
      <c r="G949" s="4" t="s">
        <v>19</v>
      </c>
      <c r="H949" s="4">
        <v>23</v>
      </c>
      <c r="I949" s="4" t="str" cm="1">
        <f t="array" ref="I949">_xlfn.IFS(
  H949&lt;30,"Young Adult",
  H949&lt;50,"Adult",
  H949&gt;=50,"Senior"
)</f>
        <v>Young Adult</v>
      </c>
      <c r="J949" s="4" t="s">
        <v>23</v>
      </c>
      <c r="K949" s="4">
        <v>3</v>
      </c>
      <c r="L949" s="5">
        <v>25</v>
      </c>
      <c r="M949" s="5">
        <f xml:space="preserve"> K949*L949</f>
        <v>75</v>
      </c>
      <c r="N949" s="14">
        <f xml:space="preserve"> M949 * $Q$3</f>
        <v>1.125</v>
      </c>
      <c r="O949" s="5"/>
    </row>
    <row r="950" spans="1:15">
      <c r="A950" s="2">
        <v>949</v>
      </c>
      <c r="B950" s="4">
        <f>DAY(E950)</f>
        <v>2</v>
      </c>
      <c r="C950" s="4">
        <f>MONTH(E950)</f>
        <v>8</v>
      </c>
      <c r="D950" s="4">
        <f>YEAR(E950)</f>
        <v>2023</v>
      </c>
      <c r="E950" s="3">
        <v>45140</v>
      </c>
      <c r="F950" s="4" t="s">
        <v>972</v>
      </c>
      <c r="G950" s="4" t="s">
        <v>19</v>
      </c>
      <c r="H950" s="4">
        <v>41</v>
      </c>
      <c r="I950" s="4" t="str" cm="1">
        <f t="array" ref="I950">_xlfn.IFS(
  H950&lt;30,"Young Adult",
  H950&lt;50,"Adult",
  H950&gt;=50,"Senior"
)</f>
        <v>Adult</v>
      </c>
      <c r="J950" s="4" t="s">
        <v>23</v>
      </c>
      <c r="K950" s="4">
        <v>2</v>
      </c>
      <c r="L950" s="5">
        <v>25</v>
      </c>
      <c r="M950" s="5">
        <f xml:space="preserve"> K950*L950</f>
        <v>50</v>
      </c>
      <c r="N950" s="14">
        <f xml:space="preserve"> M950 * $Q$3</f>
        <v>0.75</v>
      </c>
      <c r="O950" s="5"/>
    </row>
    <row r="951" spans="1:15">
      <c r="A951" s="2">
        <v>950</v>
      </c>
      <c r="B951" s="4">
        <f>DAY(E951)</f>
        <v>7</v>
      </c>
      <c r="C951" s="4">
        <f>MONTH(E951)</f>
        <v>11</v>
      </c>
      <c r="D951" s="4">
        <f>YEAR(E951)</f>
        <v>2023</v>
      </c>
      <c r="E951" s="3">
        <v>45237</v>
      </c>
      <c r="F951" s="4" t="s">
        <v>973</v>
      </c>
      <c r="G951" s="4" t="s">
        <v>15</v>
      </c>
      <c r="H951" s="4">
        <v>36</v>
      </c>
      <c r="I951" s="4" t="str" cm="1">
        <f t="array" ref="I951">_xlfn.IFS(
  H951&lt;30,"Young Adult",
  H951&lt;50,"Adult",
  H951&gt;=50,"Senior"
)</f>
        <v>Adult</v>
      </c>
      <c r="J951" s="4" t="s">
        <v>20</v>
      </c>
      <c r="K951" s="4">
        <v>3</v>
      </c>
      <c r="L951" s="5">
        <v>300</v>
      </c>
      <c r="M951" s="5">
        <f xml:space="preserve"> K951*L951</f>
        <v>900</v>
      </c>
      <c r="N951" s="14">
        <f xml:space="preserve"> M951 * $Q$3</f>
        <v>13.5</v>
      </c>
      <c r="O951" s="5"/>
    </row>
    <row r="952" spans="1:15">
      <c r="A952" s="2">
        <v>951</v>
      </c>
      <c r="B952" s="4">
        <f>DAY(E952)</f>
        <v>2</v>
      </c>
      <c r="C952" s="4">
        <f>MONTH(E952)</f>
        <v>11</v>
      </c>
      <c r="D952" s="4">
        <f>YEAR(E952)</f>
        <v>2023</v>
      </c>
      <c r="E952" s="3">
        <v>45232</v>
      </c>
      <c r="F952" s="4" t="s">
        <v>974</v>
      </c>
      <c r="G952" s="4" t="s">
        <v>15</v>
      </c>
      <c r="H952" s="4">
        <v>33</v>
      </c>
      <c r="I952" s="4" t="str" cm="1">
        <f t="array" ref="I952">_xlfn.IFS(
  H952&lt;30,"Young Adult",
  H952&lt;50,"Adult",
  H952&gt;=50,"Senior"
)</f>
        <v>Adult</v>
      </c>
      <c r="J952" s="4" t="s">
        <v>16</v>
      </c>
      <c r="K952" s="4">
        <v>2</v>
      </c>
      <c r="L952" s="5">
        <v>50</v>
      </c>
      <c r="M952" s="5">
        <f xml:space="preserve"> K952*L952</f>
        <v>100</v>
      </c>
      <c r="N952" s="14">
        <f xml:space="preserve"> M952 * $Q$3</f>
        <v>1.5</v>
      </c>
      <c r="O952" s="5"/>
    </row>
    <row r="953" spans="1:15">
      <c r="A953" s="2">
        <v>952</v>
      </c>
      <c r="B953" s="4">
        <f>DAY(E953)</f>
        <v>13</v>
      </c>
      <c r="C953" s="4">
        <f>MONTH(E953)</f>
        <v>11</v>
      </c>
      <c r="D953" s="4">
        <f>YEAR(E953)</f>
        <v>2023</v>
      </c>
      <c r="E953" s="3">
        <v>45243</v>
      </c>
      <c r="F953" s="4" t="s">
        <v>975</v>
      </c>
      <c r="G953" s="4" t="s">
        <v>19</v>
      </c>
      <c r="H953" s="4">
        <v>57</v>
      </c>
      <c r="I953" s="4" t="str" cm="1">
        <f t="array" ref="I953">_xlfn.IFS(
  H953&lt;30,"Young Adult",
  H953&lt;50,"Adult",
  H953&gt;=50,"Senior"
)</f>
        <v>Senior</v>
      </c>
      <c r="J953" s="4" t="s">
        <v>20</v>
      </c>
      <c r="K953" s="4">
        <v>1</v>
      </c>
      <c r="L953" s="5">
        <v>25</v>
      </c>
      <c r="M953" s="5">
        <f xml:space="preserve"> K953*L953</f>
        <v>25</v>
      </c>
      <c r="N953" s="14">
        <f xml:space="preserve"> M953 * $Q$3</f>
        <v>0.375</v>
      </c>
      <c r="O953" s="5"/>
    </row>
    <row r="954" spans="1:15">
      <c r="A954" s="2">
        <v>953</v>
      </c>
      <c r="B954" s="4">
        <f>DAY(E954)</f>
        <v>26</v>
      </c>
      <c r="C954" s="4">
        <f>MONTH(E954)</f>
        <v>4</v>
      </c>
      <c r="D954" s="4">
        <f>YEAR(E954)</f>
        <v>2023</v>
      </c>
      <c r="E954" s="17">
        <v>45042</v>
      </c>
      <c r="F954" s="4" t="s">
        <v>976</v>
      </c>
      <c r="G954" s="4" t="s">
        <v>15</v>
      </c>
      <c r="H954" s="4">
        <v>45</v>
      </c>
      <c r="I954" s="4" t="str" cm="1">
        <f t="array" ref="I954">_xlfn.IFS(
  H954&lt;30,"Young Adult",
  H954&lt;50,"Adult",
  H954&gt;=50,"Senior"
)</f>
        <v>Adult</v>
      </c>
      <c r="J954" s="4" t="s">
        <v>16</v>
      </c>
      <c r="K954" s="4">
        <v>3</v>
      </c>
      <c r="L954" s="5">
        <v>30</v>
      </c>
      <c r="M954" s="5">
        <f xml:space="preserve"> K954*L954</f>
        <v>90</v>
      </c>
      <c r="N954" s="14">
        <f xml:space="preserve"> M954 * $Q$3</f>
        <v>1.3499999999999999</v>
      </c>
      <c r="O954" s="5"/>
    </row>
    <row r="955" spans="1:15">
      <c r="A955" s="2">
        <v>954</v>
      </c>
      <c r="B955" s="4">
        <f>DAY(E955)</f>
        <v>25</v>
      </c>
      <c r="C955" s="4">
        <f>MONTH(E955)</f>
        <v>9</v>
      </c>
      <c r="D955" s="4">
        <f>YEAR(E955)</f>
        <v>2023</v>
      </c>
      <c r="E955" s="3">
        <v>45194</v>
      </c>
      <c r="F955" s="4" t="s">
        <v>977</v>
      </c>
      <c r="G955" s="4" t="s">
        <v>19</v>
      </c>
      <c r="H955" s="4">
        <v>50</v>
      </c>
      <c r="I955" s="4" t="str" cm="1">
        <f t="array" ref="I955">_xlfn.IFS(
  H955&lt;30,"Young Adult",
  H955&lt;50,"Adult",
  H955&gt;=50,"Senior"
)</f>
        <v>Senior</v>
      </c>
      <c r="J955" s="4" t="s">
        <v>23</v>
      </c>
      <c r="K955" s="4">
        <v>3</v>
      </c>
      <c r="L955" s="5">
        <v>300</v>
      </c>
      <c r="M955" s="5">
        <f xml:space="preserve"> K955*L955</f>
        <v>900</v>
      </c>
      <c r="N955" s="14">
        <f xml:space="preserve"> M955 * $Q$3</f>
        <v>13.5</v>
      </c>
      <c r="O955" s="5"/>
    </row>
    <row r="956" spans="1:15">
      <c r="A956" s="2">
        <v>955</v>
      </c>
      <c r="B956" s="4">
        <f>DAY(E956)</f>
        <v>14</v>
      </c>
      <c r="C956" s="4">
        <f>MONTH(E956)</f>
        <v>7</v>
      </c>
      <c r="D956" s="4">
        <f>YEAR(E956)</f>
        <v>2023</v>
      </c>
      <c r="E956" s="3">
        <v>45121</v>
      </c>
      <c r="F956" s="4" t="s">
        <v>978</v>
      </c>
      <c r="G956" s="4" t="s">
        <v>15</v>
      </c>
      <c r="H956" s="4">
        <v>58</v>
      </c>
      <c r="I956" s="4" t="str" cm="1">
        <f t="array" ref="I956">_xlfn.IFS(
  H956&lt;30,"Young Adult",
  H956&lt;50,"Adult",
  H956&gt;=50,"Senior"
)</f>
        <v>Senior</v>
      </c>
      <c r="J956" s="4" t="s">
        <v>20</v>
      </c>
      <c r="K956" s="4">
        <v>1</v>
      </c>
      <c r="L956" s="5">
        <v>25</v>
      </c>
      <c r="M956" s="5">
        <f xml:space="preserve"> K956*L956</f>
        <v>25</v>
      </c>
      <c r="N956" s="14">
        <f xml:space="preserve"> M956 * $Q$3</f>
        <v>0.375</v>
      </c>
      <c r="O956" s="5"/>
    </row>
    <row r="957" spans="1:15">
      <c r="A957" s="2">
        <v>956</v>
      </c>
      <c r="B957" s="4">
        <f>DAY(E957)</f>
        <v>19</v>
      </c>
      <c r="C957" s="4">
        <f>MONTH(E957)</f>
        <v>8</v>
      </c>
      <c r="D957" s="4">
        <f>YEAR(E957)</f>
        <v>2023</v>
      </c>
      <c r="E957" s="3">
        <v>45157</v>
      </c>
      <c r="F957" s="4" t="s">
        <v>979</v>
      </c>
      <c r="G957" s="4" t="s">
        <v>15</v>
      </c>
      <c r="H957" s="4">
        <v>30</v>
      </c>
      <c r="I957" s="4" t="str" cm="1">
        <f t="array" ref="I957">_xlfn.IFS(
  H957&lt;30,"Young Adult",
  H957&lt;50,"Adult",
  H957&gt;=50,"Senior"
)</f>
        <v>Adult</v>
      </c>
      <c r="J957" s="4" t="s">
        <v>20</v>
      </c>
      <c r="K957" s="4">
        <v>3</v>
      </c>
      <c r="L957" s="5">
        <v>500</v>
      </c>
      <c r="M957" s="5">
        <f xml:space="preserve"> K957*L957</f>
        <v>1500</v>
      </c>
      <c r="N957" s="14">
        <f xml:space="preserve"> M957 * $Q$3</f>
        <v>22.5</v>
      </c>
      <c r="O957" s="5"/>
    </row>
    <row r="958" spans="1:15">
      <c r="A958" s="2">
        <v>957</v>
      </c>
      <c r="B958" s="4">
        <f>DAY(E958)</f>
        <v>15</v>
      </c>
      <c r="C958" s="4">
        <f>MONTH(E958)</f>
        <v>8</v>
      </c>
      <c r="D958" s="4">
        <f>YEAR(E958)</f>
        <v>2023</v>
      </c>
      <c r="E958" s="3">
        <v>45153</v>
      </c>
      <c r="F958" s="4" t="s">
        <v>980</v>
      </c>
      <c r="G958" s="4" t="s">
        <v>19</v>
      </c>
      <c r="H958" s="4">
        <v>60</v>
      </c>
      <c r="I958" s="4" t="str" cm="1">
        <f t="array" ref="I958">_xlfn.IFS(
  H958&lt;30,"Young Adult",
  H958&lt;50,"Adult",
  H958&gt;=50,"Senior"
)</f>
        <v>Senior</v>
      </c>
      <c r="J958" s="4" t="s">
        <v>23</v>
      </c>
      <c r="K958" s="4">
        <v>4</v>
      </c>
      <c r="L958" s="5">
        <v>30</v>
      </c>
      <c r="M958" s="5">
        <f xml:space="preserve"> K958*L958</f>
        <v>120</v>
      </c>
      <c r="N958" s="14">
        <f xml:space="preserve"> M958 * $Q$3</f>
        <v>1.7999999999999998</v>
      </c>
      <c r="O958" s="5"/>
    </row>
    <row r="959" spans="1:15">
      <c r="A959" s="2">
        <v>958</v>
      </c>
      <c r="B959" s="4">
        <f>DAY(E959)</f>
        <v>2</v>
      </c>
      <c r="C959" s="4">
        <f>MONTH(E959)</f>
        <v>6</v>
      </c>
      <c r="D959" s="4">
        <f>YEAR(E959)</f>
        <v>2023</v>
      </c>
      <c r="E959" s="3">
        <v>45079</v>
      </c>
      <c r="F959" s="4" t="s">
        <v>981</v>
      </c>
      <c r="G959" s="4" t="s">
        <v>15</v>
      </c>
      <c r="H959" s="4">
        <v>62</v>
      </c>
      <c r="I959" s="4" t="str" cm="1">
        <f t="array" ref="I959">_xlfn.IFS(
  H959&lt;30,"Young Adult",
  H959&lt;50,"Adult",
  H959&gt;=50,"Senior"
)</f>
        <v>Senior</v>
      </c>
      <c r="J959" s="4" t="s">
        <v>23</v>
      </c>
      <c r="K959" s="4">
        <v>2</v>
      </c>
      <c r="L959" s="5">
        <v>25</v>
      </c>
      <c r="M959" s="5">
        <f xml:space="preserve"> K959*L959</f>
        <v>50</v>
      </c>
      <c r="N959" s="14">
        <f xml:space="preserve"> M959 * $Q$3</f>
        <v>0.75</v>
      </c>
      <c r="O959" s="5"/>
    </row>
    <row r="960" spans="1:15">
      <c r="A960" s="2">
        <v>959</v>
      </c>
      <c r="B960" s="4">
        <f>DAY(E960)</f>
        <v>29</v>
      </c>
      <c r="C960" s="4">
        <f>MONTH(E960)</f>
        <v>10</v>
      </c>
      <c r="D960" s="4">
        <f>YEAR(E960)</f>
        <v>2023</v>
      </c>
      <c r="E960" s="3">
        <v>45228</v>
      </c>
      <c r="F960" s="4" t="s">
        <v>982</v>
      </c>
      <c r="G960" s="4" t="s">
        <v>19</v>
      </c>
      <c r="H960" s="4">
        <v>42</v>
      </c>
      <c r="I960" s="4" t="str" cm="1">
        <f t="array" ref="I960">_xlfn.IFS(
  H960&lt;30,"Young Adult",
  H960&lt;50,"Adult",
  H960&gt;=50,"Senior"
)</f>
        <v>Adult</v>
      </c>
      <c r="J960" s="4" t="s">
        <v>23</v>
      </c>
      <c r="K960" s="4">
        <v>2</v>
      </c>
      <c r="L960" s="5">
        <v>30</v>
      </c>
      <c r="M960" s="5">
        <f xml:space="preserve"> K960*L960</f>
        <v>60</v>
      </c>
      <c r="N960" s="14">
        <f xml:space="preserve"> M960 * $Q$3</f>
        <v>0.89999999999999991</v>
      </c>
      <c r="O960" s="5"/>
    </row>
    <row r="961" spans="1:15">
      <c r="A961" s="2">
        <v>960</v>
      </c>
      <c r="B961" s="4">
        <f>DAY(E961)</f>
        <v>8</v>
      </c>
      <c r="C961" s="4">
        <f>MONTH(E961)</f>
        <v>8</v>
      </c>
      <c r="D961" s="4">
        <f>YEAR(E961)</f>
        <v>2023</v>
      </c>
      <c r="E961" s="3">
        <v>45146</v>
      </c>
      <c r="F961" s="4" t="s">
        <v>983</v>
      </c>
      <c r="G961" s="4" t="s">
        <v>15</v>
      </c>
      <c r="H961" s="4">
        <v>59</v>
      </c>
      <c r="I961" s="4" t="str" cm="1">
        <f t="array" ref="I961">_xlfn.IFS(
  H961&lt;30,"Young Adult",
  H961&lt;50,"Adult",
  H961&gt;=50,"Senior"
)</f>
        <v>Senior</v>
      </c>
      <c r="J961" s="4" t="s">
        <v>20</v>
      </c>
      <c r="K961" s="4">
        <v>2</v>
      </c>
      <c r="L961" s="5">
        <v>30</v>
      </c>
      <c r="M961" s="5">
        <f xml:space="preserve"> K961*L961</f>
        <v>60</v>
      </c>
      <c r="N961" s="14">
        <f xml:space="preserve"> M961 * $Q$3</f>
        <v>0.89999999999999991</v>
      </c>
      <c r="O961" s="5"/>
    </row>
    <row r="962" spans="1:15">
      <c r="A962" s="2">
        <v>961</v>
      </c>
      <c r="B962" s="4">
        <f>DAY(E962)</f>
        <v>6</v>
      </c>
      <c r="C962" s="4">
        <f>MONTH(E962)</f>
        <v>6</v>
      </c>
      <c r="D962" s="4">
        <f>YEAR(E962)</f>
        <v>2023</v>
      </c>
      <c r="E962" s="3">
        <v>45083</v>
      </c>
      <c r="F962" s="4" t="s">
        <v>984</v>
      </c>
      <c r="G962" s="4" t="s">
        <v>15</v>
      </c>
      <c r="H962" s="4">
        <v>53</v>
      </c>
      <c r="I962" s="4" t="str" cm="1">
        <f t="array" ref="I962">_xlfn.IFS(
  H962&lt;30,"Young Adult",
  H962&lt;50,"Adult",
  H962&gt;=50,"Senior"
)</f>
        <v>Senior</v>
      </c>
      <c r="J962" s="4" t="s">
        <v>16</v>
      </c>
      <c r="K962" s="4">
        <v>4</v>
      </c>
      <c r="L962" s="5">
        <v>50</v>
      </c>
      <c r="M962" s="5">
        <f xml:space="preserve"> K962*L962</f>
        <v>200</v>
      </c>
      <c r="N962" s="14">
        <f xml:space="preserve"> M962 * $Q$3</f>
        <v>3</v>
      </c>
      <c r="O962" s="5"/>
    </row>
    <row r="963" spans="1:15">
      <c r="A963" s="2">
        <v>962</v>
      </c>
      <c r="B963" s="4">
        <f>DAY(E963)</f>
        <v>19</v>
      </c>
      <c r="C963" s="4">
        <f>MONTH(E963)</f>
        <v>10</v>
      </c>
      <c r="D963" s="4">
        <f>YEAR(E963)</f>
        <v>2023</v>
      </c>
      <c r="E963" s="3">
        <v>45218</v>
      </c>
      <c r="F963" s="4" t="s">
        <v>985</v>
      </c>
      <c r="G963" s="4" t="s">
        <v>15</v>
      </c>
      <c r="H963" s="4">
        <v>44</v>
      </c>
      <c r="I963" s="4" t="str" cm="1">
        <f t="array" ref="I963">_xlfn.IFS(
  H963&lt;30,"Young Adult",
  H963&lt;50,"Adult",
  H963&gt;=50,"Senior"
)</f>
        <v>Adult</v>
      </c>
      <c r="J963" s="4" t="s">
        <v>20</v>
      </c>
      <c r="K963" s="4">
        <v>2</v>
      </c>
      <c r="L963" s="5">
        <v>30</v>
      </c>
      <c r="M963" s="5">
        <f xml:space="preserve"> K963*L963</f>
        <v>60</v>
      </c>
      <c r="N963" s="14">
        <f xml:space="preserve"> M963 * $Q$3</f>
        <v>0.89999999999999991</v>
      </c>
      <c r="O963" s="5"/>
    </row>
    <row r="964" spans="1:15">
      <c r="A964" s="2">
        <v>963</v>
      </c>
      <c r="B964" s="4">
        <f>DAY(E964)</f>
        <v>14</v>
      </c>
      <c r="C964" s="4">
        <f>MONTH(E964)</f>
        <v>11</v>
      </c>
      <c r="D964" s="4">
        <f>YEAR(E964)</f>
        <v>2023</v>
      </c>
      <c r="E964" s="3">
        <v>45244</v>
      </c>
      <c r="F964" s="4" t="s">
        <v>986</v>
      </c>
      <c r="G964" s="4" t="s">
        <v>19</v>
      </c>
      <c r="H964" s="4">
        <v>55</v>
      </c>
      <c r="I964" s="4" t="str" cm="1">
        <f t="array" ref="I964">_xlfn.IFS(
  H964&lt;30,"Young Adult",
  H964&lt;50,"Adult",
  H964&gt;=50,"Senior"
)</f>
        <v>Senior</v>
      </c>
      <c r="J964" s="4" t="s">
        <v>16</v>
      </c>
      <c r="K964" s="4">
        <v>1</v>
      </c>
      <c r="L964" s="5">
        <v>50</v>
      </c>
      <c r="M964" s="5">
        <f xml:space="preserve"> K964*L964</f>
        <v>50</v>
      </c>
      <c r="N964" s="14">
        <f xml:space="preserve"> M964 * $Q$3</f>
        <v>0.75</v>
      </c>
      <c r="O964" s="5"/>
    </row>
    <row r="965" spans="1:15">
      <c r="A965" s="2">
        <v>964</v>
      </c>
      <c r="B965" s="4">
        <f>DAY(E965)</f>
        <v>31</v>
      </c>
      <c r="C965" s="4">
        <f>MONTH(E965)</f>
        <v>1</v>
      </c>
      <c r="D965" s="4">
        <f>YEAR(E965)</f>
        <v>2023</v>
      </c>
      <c r="E965" s="3">
        <v>44957</v>
      </c>
      <c r="F965" s="4" t="s">
        <v>987</v>
      </c>
      <c r="G965" s="4" t="s">
        <v>15</v>
      </c>
      <c r="H965" s="4">
        <v>24</v>
      </c>
      <c r="I965" s="4" t="str" cm="1">
        <f t="array" ref="I965">_xlfn.IFS(
  H965&lt;30,"Young Adult",
  H965&lt;50,"Adult",
  H965&gt;=50,"Senior"
)</f>
        <v>Young Adult</v>
      </c>
      <c r="J965" s="4" t="s">
        <v>20</v>
      </c>
      <c r="K965" s="4">
        <v>3</v>
      </c>
      <c r="L965" s="5">
        <v>300</v>
      </c>
      <c r="M965" s="5">
        <f xml:space="preserve"> K965*L965</f>
        <v>900</v>
      </c>
      <c r="N965" s="14">
        <f xml:space="preserve"> M965 * $Q$3</f>
        <v>13.5</v>
      </c>
      <c r="O965" s="5"/>
    </row>
    <row r="966" spans="1:15">
      <c r="A966" s="2">
        <v>965</v>
      </c>
      <c r="B966" s="4">
        <f>DAY(E966)</f>
        <v>9</v>
      </c>
      <c r="C966" s="4">
        <f>MONTH(E966)</f>
        <v>11</v>
      </c>
      <c r="D966" s="4">
        <f>YEAR(E966)</f>
        <v>2023</v>
      </c>
      <c r="E966" s="3">
        <v>45239</v>
      </c>
      <c r="F966" s="4" t="s">
        <v>988</v>
      </c>
      <c r="G966" s="4" t="s">
        <v>15</v>
      </c>
      <c r="H966" s="4">
        <v>22</v>
      </c>
      <c r="I966" s="4" t="str" cm="1">
        <f t="array" ref="I966">_xlfn.IFS(
  H966&lt;30,"Young Adult",
  H966&lt;50,"Adult",
  H966&gt;=50,"Senior"
)</f>
        <v>Young Adult</v>
      </c>
      <c r="J966" s="4" t="s">
        <v>20</v>
      </c>
      <c r="K966" s="4">
        <v>4</v>
      </c>
      <c r="L966" s="5">
        <v>50</v>
      </c>
      <c r="M966" s="5">
        <f xml:space="preserve"> K966*L966</f>
        <v>200</v>
      </c>
      <c r="N966" s="14">
        <f xml:space="preserve"> M966 * $Q$3</f>
        <v>3</v>
      </c>
      <c r="O966" s="5"/>
    </row>
    <row r="967" spans="1:15">
      <c r="A967" s="2">
        <v>966</v>
      </c>
      <c r="B967" s="4">
        <f>DAY(E967)</f>
        <v>20</v>
      </c>
      <c r="C967" s="4">
        <f>MONTH(E967)</f>
        <v>2</v>
      </c>
      <c r="D967" s="4">
        <f>YEAR(E967)</f>
        <v>2023</v>
      </c>
      <c r="E967" s="3">
        <v>44977</v>
      </c>
      <c r="F967" s="4" t="s">
        <v>989</v>
      </c>
      <c r="G967" s="4" t="s">
        <v>15</v>
      </c>
      <c r="H967" s="4">
        <v>60</v>
      </c>
      <c r="I967" s="4" t="str" cm="1">
        <f t="array" ref="I967">_xlfn.IFS(
  H967&lt;30,"Young Adult",
  H967&lt;50,"Adult",
  H967&gt;=50,"Senior"
)</f>
        <v>Senior</v>
      </c>
      <c r="J967" s="4" t="s">
        <v>23</v>
      </c>
      <c r="K967" s="4">
        <v>2</v>
      </c>
      <c r="L967" s="5">
        <v>500</v>
      </c>
      <c r="M967" s="5">
        <f xml:space="preserve"> K967*L967</f>
        <v>1000</v>
      </c>
      <c r="N967" s="14">
        <f xml:space="preserve"> M967 * $Q$3</f>
        <v>15</v>
      </c>
      <c r="O967" s="5"/>
    </row>
    <row r="968" spans="1:15">
      <c r="A968" s="2">
        <v>967</v>
      </c>
      <c r="B968" s="4">
        <f>DAY(E968)</f>
        <v>17</v>
      </c>
      <c r="C968" s="4">
        <f>MONTH(E968)</f>
        <v>4</v>
      </c>
      <c r="D968" s="4">
        <f>YEAR(E968)</f>
        <v>2023</v>
      </c>
      <c r="E968" s="17">
        <v>45033</v>
      </c>
      <c r="F968" s="4" t="s">
        <v>990</v>
      </c>
      <c r="G968" s="4" t="s">
        <v>15</v>
      </c>
      <c r="H968" s="4">
        <v>62</v>
      </c>
      <c r="I968" s="4" t="str" cm="1">
        <f t="array" ref="I968">_xlfn.IFS(
  H968&lt;30,"Young Adult",
  H968&lt;50,"Adult",
  H968&gt;=50,"Senior"
)</f>
        <v>Senior</v>
      </c>
      <c r="J968" s="4" t="s">
        <v>16</v>
      </c>
      <c r="K968" s="4">
        <v>1</v>
      </c>
      <c r="L968" s="5">
        <v>25</v>
      </c>
      <c r="M968" s="5">
        <f xml:space="preserve"> K968*L968</f>
        <v>25</v>
      </c>
      <c r="N968" s="14">
        <f xml:space="preserve"> M968 * $Q$3</f>
        <v>0.375</v>
      </c>
      <c r="O968" s="5"/>
    </row>
    <row r="969" spans="1:15">
      <c r="A969" s="2">
        <v>968</v>
      </c>
      <c r="B969" s="4">
        <f>DAY(E969)</f>
        <v>17</v>
      </c>
      <c r="C969" s="4">
        <f>MONTH(E969)</f>
        <v>11</v>
      </c>
      <c r="D969" s="4">
        <f>YEAR(E969)</f>
        <v>2023</v>
      </c>
      <c r="E969" s="3">
        <v>45247</v>
      </c>
      <c r="F969" s="4" t="s">
        <v>991</v>
      </c>
      <c r="G969" s="4" t="s">
        <v>19</v>
      </c>
      <c r="H969" s="4">
        <v>48</v>
      </c>
      <c r="I969" s="4" t="str" cm="1">
        <f t="array" ref="I969">_xlfn.IFS(
  H969&lt;30,"Young Adult",
  H969&lt;50,"Adult",
  H969&gt;=50,"Senior"
)</f>
        <v>Adult</v>
      </c>
      <c r="J969" s="4" t="s">
        <v>20</v>
      </c>
      <c r="K969" s="4">
        <v>3</v>
      </c>
      <c r="L969" s="5">
        <v>300</v>
      </c>
      <c r="M969" s="5">
        <f xml:space="preserve"> K969*L969</f>
        <v>900</v>
      </c>
      <c r="N969" s="14">
        <f xml:space="preserve"> M969 * $Q$3</f>
        <v>13.5</v>
      </c>
      <c r="O969" s="5"/>
    </row>
    <row r="970" spans="1:15">
      <c r="A970" s="2">
        <v>969</v>
      </c>
      <c r="B970" s="4">
        <f>DAY(E970)</f>
        <v>19</v>
      </c>
      <c r="C970" s="4">
        <f>MONTH(E970)</f>
        <v>4</v>
      </c>
      <c r="D970" s="4">
        <f>YEAR(E970)</f>
        <v>2023</v>
      </c>
      <c r="E970" s="17">
        <v>45035</v>
      </c>
      <c r="F970" s="4" t="s">
        <v>992</v>
      </c>
      <c r="G970" s="4" t="s">
        <v>19</v>
      </c>
      <c r="H970" s="4">
        <v>40</v>
      </c>
      <c r="I970" s="4" t="str" cm="1">
        <f t="array" ref="I970">_xlfn.IFS(
  H970&lt;30,"Young Adult",
  H970&lt;50,"Adult",
  H970&gt;=50,"Senior"
)</f>
        <v>Adult</v>
      </c>
      <c r="J970" s="4" t="s">
        <v>20</v>
      </c>
      <c r="K970" s="4">
        <v>3</v>
      </c>
      <c r="L970" s="5">
        <v>300</v>
      </c>
      <c r="M970" s="5">
        <f xml:space="preserve"> K970*L970</f>
        <v>900</v>
      </c>
      <c r="N970" s="14">
        <f xml:space="preserve"> M970 * $Q$3</f>
        <v>13.5</v>
      </c>
      <c r="O970" s="5"/>
    </row>
    <row r="971" spans="1:15">
      <c r="A971" s="2">
        <v>970</v>
      </c>
      <c r="B971" s="4">
        <f>DAY(E971)</f>
        <v>16</v>
      </c>
      <c r="C971" s="4">
        <f>MONTH(E971)</f>
        <v>5</v>
      </c>
      <c r="D971" s="4">
        <f>YEAR(E971)</f>
        <v>2023</v>
      </c>
      <c r="E971" s="17">
        <v>45062</v>
      </c>
      <c r="F971" s="4" t="s">
        <v>993</v>
      </c>
      <c r="G971" s="4" t="s">
        <v>15</v>
      </c>
      <c r="H971" s="4">
        <v>59</v>
      </c>
      <c r="I971" s="4" t="str" cm="1">
        <f t="array" ref="I971">_xlfn.IFS(
  H971&lt;30,"Young Adult",
  H971&lt;50,"Adult",
  H971&gt;=50,"Senior"
)</f>
        <v>Senior</v>
      </c>
      <c r="J971" s="4" t="s">
        <v>23</v>
      </c>
      <c r="K971" s="4">
        <v>4</v>
      </c>
      <c r="L971" s="5">
        <v>500</v>
      </c>
      <c r="M971" s="5">
        <f xml:space="preserve"> K971*L971</f>
        <v>2000</v>
      </c>
      <c r="N971" s="14">
        <f xml:space="preserve"> M971 * $Q$3</f>
        <v>30</v>
      </c>
      <c r="O971" s="5"/>
    </row>
    <row r="972" spans="1:15">
      <c r="A972" s="2">
        <v>971</v>
      </c>
      <c r="B972" s="4">
        <f>DAY(E972)</f>
        <v>5</v>
      </c>
      <c r="C972" s="4">
        <f>MONTH(E972)</f>
        <v>12</v>
      </c>
      <c r="D972" s="4">
        <f>YEAR(E972)</f>
        <v>2023</v>
      </c>
      <c r="E972" s="3">
        <v>45265</v>
      </c>
      <c r="F972" s="4" t="s">
        <v>994</v>
      </c>
      <c r="G972" s="4" t="s">
        <v>19</v>
      </c>
      <c r="H972" s="4">
        <v>27</v>
      </c>
      <c r="I972" s="4" t="str" cm="1">
        <f t="array" ref="I972">_xlfn.IFS(
  H972&lt;30,"Young Adult",
  H972&lt;50,"Adult",
  H972&gt;=50,"Senior"
)</f>
        <v>Young Adult</v>
      </c>
      <c r="J972" s="4" t="s">
        <v>23</v>
      </c>
      <c r="K972" s="4">
        <v>4</v>
      </c>
      <c r="L972" s="5">
        <v>50</v>
      </c>
      <c r="M972" s="5">
        <f xml:space="preserve"> K972*L972</f>
        <v>200</v>
      </c>
      <c r="N972" s="14">
        <f xml:space="preserve"> M972 * $Q$3</f>
        <v>3</v>
      </c>
      <c r="O972" s="5"/>
    </row>
    <row r="973" spans="1:15">
      <c r="A973" s="2">
        <v>972</v>
      </c>
      <c r="B973" s="4">
        <f>DAY(E973)</f>
        <v>11</v>
      </c>
      <c r="C973" s="4">
        <f>MONTH(E973)</f>
        <v>2</v>
      </c>
      <c r="D973" s="4">
        <f>YEAR(E973)</f>
        <v>2023</v>
      </c>
      <c r="E973" s="3">
        <v>44968</v>
      </c>
      <c r="F973" s="4" t="s">
        <v>995</v>
      </c>
      <c r="G973" s="4" t="s">
        <v>15</v>
      </c>
      <c r="H973" s="4">
        <v>49</v>
      </c>
      <c r="I973" s="4" t="str" cm="1">
        <f t="array" ref="I973">_xlfn.IFS(
  H973&lt;30,"Young Adult",
  H973&lt;50,"Adult",
  H973&gt;=50,"Senior"
)</f>
        <v>Adult</v>
      </c>
      <c r="J973" s="4" t="s">
        <v>16</v>
      </c>
      <c r="K973" s="4">
        <v>4</v>
      </c>
      <c r="L973" s="5">
        <v>25</v>
      </c>
      <c r="M973" s="5">
        <f xml:space="preserve"> K973*L973</f>
        <v>100</v>
      </c>
      <c r="N973" s="14">
        <f xml:space="preserve"> M973 * $Q$3</f>
        <v>1.5</v>
      </c>
      <c r="O973" s="5"/>
    </row>
    <row r="974" spans="1:15">
      <c r="A974" s="2">
        <v>973</v>
      </c>
      <c r="B974" s="4">
        <f>DAY(E974)</f>
        <v>22</v>
      </c>
      <c r="C974" s="4">
        <f>MONTH(E974)</f>
        <v>3</v>
      </c>
      <c r="D974" s="4">
        <f>YEAR(E974)</f>
        <v>2023</v>
      </c>
      <c r="E974" s="17">
        <v>45007</v>
      </c>
      <c r="F974" s="4" t="s">
        <v>996</v>
      </c>
      <c r="G974" s="4" t="s">
        <v>15</v>
      </c>
      <c r="H974" s="4">
        <v>60</v>
      </c>
      <c r="I974" s="4" t="str" cm="1">
        <f t="array" ref="I974">_xlfn.IFS(
  H974&lt;30,"Young Adult",
  H974&lt;50,"Adult",
  H974&gt;=50,"Senior"
)</f>
        <v>Senior</v>
      </c>
      <c r="J974" s="4" t="s">
        <v>20</v>
      </c>
      <c r="K974" s="4">
        <v>1</v>
      </c>
      <c r="L974" s="5">
        <v>50</v>
      </c>
      <c r="M974" s="5">
        <f xml:space="preserve"> K974*L974</f>
        <v>50</v>
      </c>
      <c r="N974" s="14">
        <f xml:space="preserve"> M974 * $Q$3</f>
        <v>0.75</v>
      </c>
      <c r="O974" s="5"/>
    </row>
    <row r="975" spans="1:15">
      <c r="A975" s="2">
        <v>974</v>
      </c>
      <c r="B975" s="4">
        <f>DAY(E975)</f>
        <v>3</v>
      </c>
      <c r="C975" s="4">
        <f>MONTH(E975)</f>
        <v>5</v>
      </c>
      <c r="D975" s="4">
        <f>YEAR(E975)</f>
        <v>2023</v>
      </c>
      <c r="E975" s="17">
        <v>45049</v>
      </c>
      <c r="F975" s="4" t="s">
        <v>997</v>
      </c>
      <c r="G975" s="4" t="s">
        <v>15</v>
      </c>
      <c r="H975" s="4">
        <v>47</v>
      </c>
      <c r="I975" s="4" t="str" cm="1">
        <f t="array" ref="I975">_xlfn.IFS(
  H975&lt;30,"Young Adult",
  H975&lt;50,"Adult",
  H975&gt;=50,"Senior"
)</f>
        <v>Adult</v>
      </c>
      <c r="J975" s="4" t="s">
        <v>16</v>
      </c>
      <c r="K975" s="4">
        <v>1</v>
      </c>
      <c r="L975" s="5">
        <v>30</v>
      </c>
      <c r="M975" s="5">
        <f xml:space="preserve"> K975*L975</f>
        <v>30</v>
      </c>
      <c r="N975" s="14">
        <f xml:space="preserve"> M975 * $Q$3</f>
        <v>0.44999999999999996</v>
      </c>
      <c r="O975" s="5"/>
    </row>
    <row r="976" spans="1:15">
      <c r="A976" s="2">
        <v>975</v>
      </c>
      <c r="B976" s="4">
        <f>DAY(E976)</f>
        <v>30</v>
      </c>
      <c r="C976" s="4">
        <f>MONTH(E976)</f>
        <v>3</v>
      </c>
      <c r="D976" s="4">
        <f>YEAR(E976)</f>
        <v>2023</v>
      </c>
      <c r="E976" s="17">
        <v>45015</v>
      </c>
      <c r="F976" s="4" t="s">
        <v>998</v>
      </c>
      <c r="G976" s="4" t="s">
        <v>19</v>
      </c>
      <c r="H976" s="4">
        <v>56</v>
      </c>
      <c r="I976" s="4" t="str" cm="1">
        <f t="array" ref="I976">_xlfn.IFS(
  H976&lt;30,"Young Adult",
  H976&lt;50,"Adult",
  H976&gt;=50,"Senior"
)</f>
        <v>Senior</v>
      </c>
      <c r="J976" s="4" t="s">
        <v>20</v>
      </c>
      <c r="K976" s="4">
        <v>4</v>
      </c>
      <c r="L976" s="5">
        <v>50</v>
      </c>
      <c r="M976" s="5">
        <f xml:space="preserve"> K976*L976</f>
        <v>200</v>
      </c>
      <c r="N976" s="14">
        <f xml:space="preserve"> M976 * $Q$3</f>
        <v>3</v>
      </c>
      <c r="O976" s="5"/>
    </row>
    <row r="977" spans="1:15">
      <c r="A977" s="2">
        <v>976</v>
      </c>
      <c r="B977" s="4">
        <f>DAY(E977)</f>
        <v>10</v>
      </c>
      <c r="C977" s="4">
        <f>MONTH(E977)</f>
        <v>10</v>
      </c>
      <c r="D977" s="4">
        <f>YEAR(E977)</f>
        <v>2023</v>
      </c>
      <c r="E977" s="3">
        <v>45209</v>
      </c>
      <c r="F977" s="4" t="s">
        <v>999</v>
      </c>
      <c r="G977" s="4" t="s">
        <v>19</v>
      </c>
      <c r="H977" s="4">
        <v>48</v>
      </c>
      <c r="I977" s="4" t="str" cm="1">
        <f t="array" ref="I977">_xlfn.IFS(
  H977&lt;30,"Young Adult",
  H977&lt;50,"Adult",
  H977&gt;=50,"Senior"
)</f>
        <v>Adult</v>
      </c>
      <c r="J977" s="4" t="s">
        <v>16</v>
      </c>
      <c r="K977" s="4">
        <v>2</v>
      </c>
      <c r="L977" s="5">
        <v>300</v>
      </c>
      <c r="M977" s="5">
        <f xml:space="preserve"> K977*L977</f>
        <v>600</v>
      </c>
      <c r="N977" s="14">
        <f xml:space="preserve"> M977 * $Q$3</f>
        <v>9</v>
      </c>
      <c r="O977" s="5"/>
    </row>
    <row r="978" spans="1:15">
      <c r="A978" s="2">
        <v>977</v>
      </c>
      <c r="B978" s="4">
        <f>DAY(E978)</f>
        <v>8</v>
      </c>
      <c r="C978" s="4">
        <f>MONTH(E978)</f>
        <v>2</v>
      </c>
      <c r="D978" s="4">
        <f>YEAR(E978)</f>
        <v>2023</v>
      </c>
      <c r="E978" s="3">
        <v>44965</v>
      </c>
      <c r="F978" s="4" t="s">
        <v>1000</v>
      </c>
      <c r="G978" s="4" t="s">
        <v>19</v>
      </c>
      <c r="H978" s="4">
        <v>35</v>
      </c>
      <c r="I978" s="4" t="str" cm="1">
        <f t="array" ref="I978">_xlfn.IFS(
  H978&lt;30,"Young Adult",
  H978&lt;50,"Adult",
  H978&gt;=50,"Senior"
)</f>
        <v>Adult</v>
      </c>
      <c r="J978" s="4" t="s">
        <v>23</v>
      </c>
      <c r="K978" s="4">
        <v>3</v>
      </c>
      <c r="L978" s="5">
        <v>25</v>
      </c>
      <c r="M978" s="5">
        <f xml:space="preserve"> K978*L978</f>
        <v>75</v>
      </c>
      <c r="N978" s="14">
        <f xml:space="preserve"> M978 * $Q$3</f>
        <v>1.125</v>
      </c>
      <c r="O978" s="5"/>
    </row>
    <row r="979" spans="1:15">
      <c r="A979" s="2">
        <v>978</v>
      </c>
      <c r="B979" s="4">
        <f>DAY(E979)</f>
        <v>22</v>
      </c>
      <c r="C979" s="4">
        <f>MONTH(E979)</f>
        <v>3</v>
      </c>
      <c r="D979" s="4">
        <f>YEAR(E979)</f>
        <v>2023</v>
      </c>
      <c r="E979" s="17">
        <v>45007</v>
      </c>
      <c r="F979" s="4" t="s">
        <v>1001</v>
      </c>
      <c r="G979" s="4" t="s">
        <v>19</v>
      </c>
      <c r="H979" s="4">
        <v>53</v>
      </c>
      <c r="I979" s="4" t="str" cm="1">
        <f t="array" ref="I979">_xlfn.IFS(
  H979&lt;30,"Young Adult",
  H979&lt;50,"Adult",
  H979&gt;=50,"Senior"
)</f>
        <v>Senior</v>
      </c>
      <c r="J979" s="4" t="s">
        <v>20</v>
      </c>
      <c r="K979" s="4">
        <v>3</v>
      </c>
      <c r="L979" s="5">
        <v>50</v>
      </c>
      <c r="M979" s="5">
        <f xml:space="preserve"> K979*L979</f>
        <v>150</v>
      </c>
      <c r="N979" s="14">
        <f xml:space="preserve"> M979 * $Q$3</f>
        <v>2.25</v>
      </c>
      <c r="O979" s="5"/>
    </row>
    <row r="980" spans="1:15">
      <c r="A980" s="2">
        <v>979</v>
      </c>
      <c r="B980" s="4">
        <f>DAY(E980)</f>
        <v>2</v>
      </c>
      <c r="C980" s="4">
        <f>MONTH(E980)</f>
        <v>1</v>
      </c>
      <c r="D980" s="4">
        <f>YEAR(E980)</f>
        <v>2023</v>
      </c>
      <c r="E980" s="3">
        <v>44928</v>
      </c>
      <c r="F980" s="4" t="s">
        <v>1002</v>
      </c>
      <c r="G980" s="4" t="s">
        <v>19</v>
      </c>
      <c r="H980" s="4">
        <v>19</v>
      </c>
      <c r="I980" s="4" t="str" cm="1">
        <f t="array" ref="I980">_xlfn.IFS(
  H980&lt;30,"Young Adult",
  H980&lt;50,"Adult",
  H980&gt;=50,"Senior"
)</f>
        <v>Young Adult</v>
      </c>
      <c r="J980" s="4" t="s">
        <v>16</v>
      </c>
      <c r="K980" s="4">
        <v>1</v>
      </c>
      <c r="L980" s="5">
        <v>25</v>
      </c>
      <c r="M980" s="5">
        <f xml:space="preserve"> K980*L980</f>
        <v>25</v>
      </c>
      <c r="N980" s="14">
        <f xml:space="preserve"> M980 * $Q$3</f>
        <v>0.375</v>
      </c>
      <c r="O980" s="5"/>
    </row>
    <row r="981" spans="1:15">
      <c r="A981" s="2">
        <v>980</v>
      </c>
      <c r="B981" s="4">
        <f>DAY(E981)</f>
        <v>29</v>
      </c>
      <c r="C981" s="4">
        <f>MONTH(E981)</f>
        <v>7</v>
      </c>
      <c r="D981" s="4">
        <f>YEAR(E981)</f>
        <v>2023</v>
      </c>
      <c r="E981" s="3">
        <v>45136</v>
      </c>
      <c r="F981" s="4" t="s">
        <v>1003</v>
      </c>
      <c r="G981" s="4" t="s">
        <v>19</v>
      </c>
      <c r="H981" s="4">
        <v>31</v>
      </c>
      <c r="I981" s="4" t="str" cm="1">
        <f t="array" ref="I981">_xlfn.IFS(
  H981&lt;30,"Young Adult",
  H981&lt;50,"Adult",
  H981&gt;=50,"Senior"
)</f>
        <v>Adult</v>
      </c>
      <c r="J981" s="4" t="s">
        <v>23</v>
      </c>
      <c r="K981" s="4">
        <v>3</v>
      </c>
      <c r="L981" s="5">
        <v>25</v>
      </c>
      <c r="M981" s="5">
        <f xml:space="preserve"> K981*L981</f>
        <v>75</v>
      </c>
      <c r="N981" s="14">
        <f xml:space="preserve"> M981 * $Q$3</f>
        <v>1.125</v>
      </c>
      <c r="O981" s="5"/>
    </row>
    <row r="982" spans="1:15">
      <c r="A982" s="2">
        <v>981</v>
      </c>
      <c r="B982" s="4">
        <f>DAY(E982)</f>
        <v>19</v>
      </c>
      <c r="C982" s="4">
        <f>MONTH(E982)</f>
        <v>8</v>
      </c>
      <c r="D982" s="4">
        <f>YEAR(E982)</f>
        <v>2023</v>
      </c>
      <c r="E982" s="3">
        <v>45157</v>
      </c>
      <c r="F982" s="4" t="s">
        <v>1004</v>
      </c>
      <c r="G982" s="4" t="s">
        <v>19</v>
      </c>
      <c r="H982" s="4">
        <v>30</v>
      </c>
      <c r="I982" s="4" t="str" cm="1">
        <f t="array" ref="I982">_xlfn.IFS(
  H982&lt;30,"Young Adult",
  H982&lt;50,"Adult",
  H982&gt;=50,"Senior"
)</f>
        <v>Adult</v>
      </c>
      <c r="J982" s="4" t="s">
        <v>23</v>
      </c>
      <c r="K982" s="4">
        <v>2</v>
      </c>
      <c r="L982" s="5">
        <v>30</v>
      </c>
      <c r="M982" s="5">
        <f xml:space="preserve"> K982*L982</f>
        <v>60</v>
      </c>
      <c r="N982" s="14">
        <f xml:space="preserve"> M982 * $Q$3</f>
        <v>0.89999999999999991</v>
      </c>
      <c r="O982" s="5"/>
    </row>
    <row r="983" spans="1:15">
      <c r="A983" s="2">
        <v>982</v>
      </c>
      <c r="B983" s="4">
        <f>DAY(E983)</f>
        <v>19</v>
      </c>
      <c r="C983" s="4">
        <f>MONTH(E983)</f>
        <v>12</v>
      </c>
      <c r="D983" s="4">
        <f>YEAR(E983)</f>
        <v>2023</v>
      </c>
      <c r="E983" s="3">
        <v>45279</v>
      </c>
      <c r="F983" s="4" t="s">
        <v>1005</v>
      </c>
      <c r="G983" s="4" t="s">
        <v>19</v>
      </c>
      <c r="H983" s="4">
        <v>46</v>
      </c>
      <c r="I983" s="4" t="str" cm="1">
        <f t="array" ref="I983">_xlfn.IFS(
  H983&lt;30,"Young Adult",
  H983&lt;50,"Adult",
  H983&gt;=50,"Senior"
)</f>
        <v>Adult</v>
      </c>
      <c r="J983" s="4" t="s">
        <v>16</v>
      </c>
      <c r="K983" s="4">
        <v>3</v>
      </c>
      <c r="L983" s="5">
        <v>30</v>
      </c>
      <c r="M983" s="5">
        <f xml:space="preserve"> K983*L983</f>
        <v>90</v>
      </c>
      <c r="N983" s="14">
        <f xml:space="preserve"> M983 * $Q$3</f>
        <v>1.3499999999999999</v>
      </c>
      <c r="O983" s="5"/>
    </row>
    <row r="984" spans="1:15">
      <c r="A984" s="2">
        <v>983</v>
      </c>
      <c r="B984" s="4">
        <f>DAY(E984)</f>
        <v>1</v>
      </c>
      <c r="C984" s="4">
        <f>MONTH(E984)</f>
        <v>11</v>
      </c>
      <c r="D984" s="4">
        <f>YEAR(E984)</f>
        <v>2023</v>
      </c>
      <c r="E984" s="3">
        <v>45231</v>
      </c>
      <c r="F984" s="4" t="s">
        <v>1006</v>
      </c>
      <c r="G984" s="4" t="s">
        <v>19</v>
      </c>
      <c r="H984" s="4">
        <v>29</v>
      </c>
      <c r="I984" s="4" t="str" cm="1">
        <f t="array" ref="I984">_xlfn.IFS(
  H984&lt;30,"Young Adult",
  H984&lt;50,"Adult",
  H984&gt;=50,"Senior"
)</f>
        <v>Young Adult</v>
      </c>
      <c r="J984" s="4" t="s">
        <v>20</v>
      </c>
      <c r="K984" s="4">
        <v>1</v>
      </c>
      <c r="L984" s="5">
        <v>300</v>
      </c>
      <c r="M984" s="5">
        <f xml:space="preserve"> K984*L984</f>
        <v>300</v>
      </c>
      <c r="N984" s="14">
        <f xml:space="preserve"> M984 * $Q$3</f>
        <v>4.5</v>
      </c>
      <c r="O984" s="5"/>
    </row>
    <row r="985" spans="1:15">
      <c r="A985" s="2">
        <v>984</v>
      </c>
      <c r="B985" s="4">
        <f>DAY(E985)</f>
        <v>29</v>
      </c>
      <c r="C985" s="4">
        <f>MONTH(E985)</f>
        <v>8</v>
      </c>
      <c r="D985" s="4">
        <f>YEAR(E985)</f>
        <v>2023</v>
      </c>
      <c r="E985" s="3">
        <v>45167</v>
      </c>
      <c r="F985" s="4" t="s">
        <v>1007</v>
      </c>
      <c r="G985" s="4" t="s">
        <v>15</v>
      </c>
      <c r="H985" s="4">
        <v>56</v>
      </c>
      <c r="I985" s="4" t="str" cm="1">
        <f t="array" ref="I985">_xlfn.IFS(
  H985&lt;30,"Young Adult",
  H985&lt;50,"Adult",
  H985&gt;=50,"Senior"
)</f>
        <v>Senior</v>
      </c>
      <c r="J985" s="4" t="s">
        <v>20</v>
      </c>
      <c r="K985" s="4">
        <v>1</v>
      </c>
      <c r="L985" s="5">
        <v>500</v>
      </c>
      <c r="M985" s="5">
        <f xml:space="preserve"> K985*L985</f>
        <v>500</v>
      </c>
      <c r="N985" s="14">
        <f xml:space="preserve"> M985 * $Q$3</f>
        <v>7.5</v>
      </c>
      <c r="O985" s="5"/>
    </row>
    <row r="986" spans="1:15">
      <c r="A986" s="2">
        <v>985</v>
      </c>
      <c r="B986" s="4">
        <f>DAY(E986)</f>
        <v>30</v>
      </c>
      <c r="C986" s="4">
        <f>MONTH(E986)</f>
        <v>5</v>
      </c>
      <c r="D986" s="4">
        <f>YEAR(E986)</f>
        <v>2023</v>
      </c>
      <c r="E986" s="17">
        <v>45076</v>
      </c>
      <c r="F986" s="4" t="s">
        <v>1008</v>
      </c>
      <c r="G986" s="4" t="s">
        <v>19</v>
      </c>
      <c r="H986" s="4">
        <v>19</v>
      </c>
      <c r="I986" s="4" t="str" cm="1">
        <f t="array" ref="I986">_xlfn.IFS(
  H986&lt;30,"Young Adult",
  H986&lt;50,"Adult",
  H986&gt;=50,"Senior"
)</f>
        <v>Young Adult</v>
      </c>
      <c r="J986" s="4" t="s">
        <v>23</v>
      </c>
      <c r="K986" s="4">
        <v>2</v>
      </c>
      <c r="L986" s="5">
        <v>25</v>
      </c>
      <c r="M986" s="5">
        <f xml:space="preserve"> K986*L986</f>
        <v>50</v>
      </c>
      <c r="N986" s="14">
        <f xml:space="preserve"> M986 * $Q$3</f>
        <v>0.75</v>
      </c>
      <c r="O986" s="5"/>
    </row>
    <row r="987" spans="1:15">
      <c r="A987" s="2">
        <v>986</v>
      </c>
      <c r="B987" s="4">
        <f>DAY(E987)</f>
        <v>17</v>
      </c>
      <c r="C987" s="4">
        <f>MONTH(E987)</f>
        <v>1</v>
      </c>
      <c r="D987" s="4">
        <f>YEAR(E987)</f>
        <v>2023</v>
      </c>
      <c r="E987" s="3">
        <v>44943</v>
      </c>
      <c r="F987" s="4" t="s">
        <v>1009</v>
      </c>
      <c r="G987" s="4" t="s">
        <v>19</v>
      </c>
      <c r="H987" s="4">
        <v>49</v>
      </c>
      <c r="I987" s="4" t="str" cm="1">
        <f t="array" ref="I987">_xlfn.IFS(
  H987&lt;30,"Young Adult",
  H987&lt;50,"Adult",
  H987&gt;=50,"Senior"
)</f>
        <v>Adult</v>
      </c>
      <c r="J987" s="4" t="s">
        <v>20</v>
      </c>
      <c r="K987" s="4">
        <v>2</v>
      </c>
      <c r="L987" s="5">
        <v>500</v>
      </c>
      <c r="M987" s="5">
        <f xml:space="preserve"> K987*L987</f>
        <v>1000</v>
      </c>
      <c r="N987" s="14">
        <f xml:space="preserve"> M987 * $Q$3</f>
        <v>15</v>
      </c>
      <c r="O987" s="5"/>
    </row>
    <row r="988" spans="1:15">
      <c r="A988" s="2">
        <v>987</v>
      </c>
      <c r="B988" s="4">
        <f>DAY(E988)</f>
        <v>29</v>
      </c>
      <c r="C988" s="4">
        <f>MONTH(E988)</f>
        <v>4</v>
      </c>
      <c r="D988" s="4">
        <f>YEAR(E988)</f>
        <v>2023</v>
      </c>
      <c r="E988" s="17">
        <v>45045</v>
      </c>
      <c r="F988" s="4" t="s">
        <v>1010</v>
      </c>
      <c r="G988" s="4" t="s">
        <v>19</v>
      </c>
      <c r="H988" s="4">
        <v>30</v>
      </c>
      <c r="I988" s="4" t="str" cm="1">
        <f t="array" ref="I988">_xlfn.IFS(
  H988&lt;30,"Young Adult",
  H988&lt;50,"Adult",
  H988&gt;=50,"Senior"
)</f>
        <v>Adult</v>
      </c>
      <c r="J988" s="4" t="s">
        <v>20</v>
      </c>
      <c r="K988" s="4">
        <v>3</v>
      </c>
      <c r="L988" s="5">
        <v>300</v>
      </c>
      <c r="M988" s="5">
        <f xml:space="preserve"> K988*L988</f>
        <v>900</v>
      </c>
      <c r="N988" s="14">
        <f xml:space="preserve"> M988 * $Q$3</f>
        <v>13.5</v>
      </c>
      <c r="O988" s="5"/>
    </row>
    <row r="989" spans="1:15">
      <c r="A989" s="2">
        <v>988</v>
      </c>
      <c r="B989" s="4">
        <f>DAY(E989)</f>
        <v>28</v>
      </c>
      <c r="C989" s="4">
        <f>MONTH(E989)</f>
        <v>5</v>
      </c>
      <c r="D989" s="4">
        <f>YEAR(E989)</f>
        <v>2023</v>
      </c>
      <c r="E989" s="17">
        <v>45074</v>
      </c>
      <c r="F989" s="4" t="s">
        <v>1011</v>
      </c>
      <c r="G989" s="4" t="s">
        <v>19</v>
      </c>
      <c r="H989" s="4">
        <v>63</v>
      </c>
      <c r="I989" s="4" t="str" cm="1">
        <f t="array" ref="I989">_xlfn.IFS(
  H989&lt;30,"Young Adult",
  H989&lt;50,"Adult",
  H989&gt;=50,"Senior"
)</f>
        <v>Senior</v>
      </c>
      <c r="J989" s="4" t="s">
        <v>20</v>
      </c>
      <c r="K989" s="4">
        <v>3</v>
      </c>
      <c r="L989" s="5">
        <v>25</v>
      </c>
      <c r="M989" s="5">
        <f xml:space="preserve"> K989*L989</f>
        <v>75</v>
      </c>
      <c r="N989" s="14">
        <f xml:space="preserve"> M989 * $Q$3</f>
        <v>1.125</v>
      </c>
      <c r="O989" s="5"/>
    </row>
    <row r="990" spans="1:15">
      <c r="A990" s="2">
        <v>989</v>
      </c>
      <c r="B990" s="4">
        <f>DAY(E990)</f>
        <v>28</v>
      </c>
      <c r="C990" s="4">
        <f>MONTH(E990)</f>
        <v>12</v>
      </c>
      <c r="D990" s="4">
        <f>YEAR(E990)</f>
        <v>2023</v>
      </c>
      <c r="E990" s="3">
        <v>45288</v>
      </c>
      <c r="F990" s="4" t="s">
        <v>1012</v>
      </c>
      <c r="G990" s="4" t="s">
        <v>19</v>
      </c>
      <c r="H990" s="4">
        <v>44</v>
      </c>
      <c r="I990" s="4" t="str" cm="1">
        <f t="array" ref="I990">_xlfn.IFS(
  H990&lt;30,"Young Adult",
  H990&lt;50,"Adult",
  H990&gt;=50,"Senior"
)</f>
        <v>Adult</v>
      </c>
      <c r="J990" s="4" t="s">
        <v>23</v>
      </c>
      <c r="K990" s="4">
        <v>1</v>
      </c>
      <c r="L990" s="5">
        <v>25</v>
      </c>
      <c r="M990" s="5">
        <f xml:space="preserve"> K990*L990</f>
        <v>25</v>
      </c>
      <c r="N990" s="14">
        <f xml:space="preserve"> M990 * $Q$3</f>
        <v>0.375</v>
      </c>
      <c r="O990" s="5"/>
    </row>
    <row r="991" spans="1:15">
      <c r="A991" s="2">
        <v>990</v>
      </c>
      <c r="B991" s="4">
        <f>DAY(E991)</f>
        <v>25</v>
      </c>
      <c r="C991" s="4">
        <f>MONTH(E991)</f>
        <v>5</v>
      </c>
      <c r="D991" s="4">
        <f>YEAR(E991)</f>
        <v>2023</v>
      </c>
      <c r="E991" s="17">
        <v>45071</v>
      </c>
      <c r="F991" s="4" t="s">
        <v>1013</v>
      </c>
      <c r="G991" s="4" t="s">
        <v>19</v>
      </c>
      <c r="H991" s="4">
        <v>58</v>
      </c>
      <c r="I991" s="4" t="str" cm="1">
        <f t="array" ref="I991">_xlfn.IFS(
  H991&lt;30,"Young Adult",
  H991&lt;50,"Adult",
  H991&gt;=50,"Senior"
)</f>
        <v>Senior</v>
      </c>
      <c r="J991" s="4" t="s">
        <v>16</v>
      </c>
      <c r="K991" s="4">
        <v>2</v>
      </c>
      <c r="L991" s="5">
        <v>500</v>
      </c>
      <c r="M991" s="5">
        <f xml:space="preserve"> K991*L991</f>
        <v>1000</v>
      </c>
      <c r="N991" s="14">
        <f xml:space="preserve"> M991 * $Q$3</f>
        <v>15</v>
      </c>
      <c r="O991" s="5"/>
    </row>
    <row r="992" spans="1:15">
      <c r="A992" s="2">
        <v>991</v>
      </c>
      <c r="B992" s="4">
        <f>DAY(E992)</f>
        <v>26</v>
      </c>
      <c r="C992" s="4">
        <f>MONTH(E992)</f>
        <v>12</v>
      </c>
      <c r="D992" s="4">
        <f>YEAR(E992)</f>
        <v>2023</v>
      </c>
      <c r="E992" s="3">
        <v>45286</v>
      </c>
      <c r="F992" s="4" t="s">
        <v>1014</v>
      </c>
      <c r="G992" s="4" t="s">
        <v>19</v>
      </c>
      <c r="H992" s="4">
        <v>34</v>
      </c>
      <c r="I992" s="4" t="str" cm="1">
        <f t="array" ref="I992">_xlfn.IFS(
  H992&lt;30,"Young Adult",
  H992&lt;50,"Adult",
  H992&gt;=50,"Senior"
)</f>
        <v>Adult</v>
      </c>
      <c r="J992" s="4" t="s">
        <v>20</v>
      </c>
      <c r="K992" s="4">
        <v>2</v>
      </c>
      <c r="L992" s="5">
        <v>50</v>
      </c>
      <c r="M992" s="5">
        <f xml:space="preserve"> K992*L992</f>
        <v>100</v>
      </c>
      <c r="N992" s="14">
        <f xml:space="preserve"> M992 * $Q$3</f>
        <v>1.5</v>
      </c>
      <c r="O992" s="5"/>
    </row>
    <row r="993" spans="1:15">
      <c r="A993" s="2">
        <v>992</v>
      </c>
      <c r="B993" s="4">
        <f>DAY(E993)</f>
        <v>21</v>
      </c>
      <c r="C993" s="4">
        <f>MONTH(E993)</f>
        <v>8</v>
      </c>
      <c r="D993" s="4">
        <f>YEAR(E993)</f>
        <v>2023</v>
      </c>
      <c r="E993" s="3">
        <v>45159</v>
      </c>
      <c r="F993" s="4" t="s">
        <v>1015</v>
      </c>
      <c r="G993" s="4" t="s">
        <v>19</v>
      </c>
      <c r="H993" s="4">
        <v>57</v>
      </c>
      <c r="I993" s="4" t="str" cm="1">
        <f t="array" ref="I993">_xlfn.IFS(
  H993&lt;30,"Young Adult",
  H993&lt;50,"Adult",
  H993&gt;=50,"Senior"
)</f>
        <v>Senior</v>
      </c>
      <c r="J993" s="4" t="s">
        <v>23</v>
      </c>
      <c r="K993" s="4">
        <v>2</v>
      </c>
      <c r="L993" s="5">
        <v>30</v>
      </c>
      <c r="M993" s="5">
        <f xml:space="preserve"> K993*L993</f>
        <v>60</v>
      </c>
      <c r="N993" s="14">
        <f xml:space="preserve"> M993 * $Q$3</f>
        <v>0.89999999999999991</v>
      </c>
      <c r="O993" s="5"/>
    </row>
    <row r="994" spans="1:15">
      <c r="A994" s="2">
        <v>993</v>
      </c>
      <c r="B994" s="4">
        <f>DAY(E994)</f>
        <v>6</v>
      </c>
      <c r="C994" s="4">
        <f>MONTH(E994)</f>
        <v>2</v>
      </c>
      <c r="D994" s="4">
        <f>YEAR(E994)</f>
        <v>2023</v>
      </c>
      <c r="E994" s="3">
        <v>44963</v>
      </c>
      <c r="F994" s="4" t="s">
        <v>1016</v>
      </c>
      <c r="G994" s="4" t="s">
        <v>19</v>
      </c>
      <c r="H994" s="4">
        <v>48</v>
      </c>
      <c r="I994" s="4" t="str" cm="1">
        <f t="array" ref="I994">_xlfn.IFS(
  H994&lt;30,"Young Adult",
  H994&lt;50,"Adult",
  H994&gt;=50,"Senior"
)</f>
        <v>Adult</v>
      </c>
      <c r="J994" s="4" t="s">
        <v>23</v>
      </c>
      <c r="K994" s="4">
        <v>3</v>
      </c>
      <c r="L994" s="5">
        <v>50</v>
      </c>
      <c r="M994" s="5">
        <f xml:space="preserve"> K994*L994</f>
        <v>150</v>
      </c>
      <c r="N994" s="14">
        <f xml:space="preserve"> M994 * $Q$3</f>
        <v>2.25</v>
      </c>
      <c r="O994" s="5"/>
    </row>
    <row r="995" spans="1:15">
      <c r="A995" s="2">
        <v>994</v>
      </c>
      <c r="B995" s="4">
        <f>DAY(E995)</f>
        <v>18</v>
      </c>
      <c r="C995" s="4">
        <f>MONTH(E995)</f>
        <v>12</v>
      </c>
      <c r="D995" s="4">
        <f>YEAR(E995)</f>
        <v>2023</v>
      </c>
      <c r="E995" s="3">
        <v>45278</v>
      </c>
      <c r="F995" s="4" t="s">
        <v>1017</v>
      </c>
      <c r="G995" s="4" t="s">
        <v>19</v>
      </c>
      <c r="H995" s="4">
        <v>51</v>
      </c>
      <c r="I995" s="4" t="str" cm="1">
        <f t="array" ref="I995">_xlfn.IFS(
  H995&lt;30,"Young Adult",
  H995&lt;50,"Adult",
  H995&gt;=50,"Senior"
)</f>
        <v>Senior</v>
      </c>
      <c r="J995" s="4" t="s">
        <v>16</v>
      </c>
      <c r="K995" s="4">
        <v>2</v>
      </c>
      <c r="L995" s="5">
        <v>500</v>
      </c>
      <c r="M995" s="5">
        <f xml:space="preserve"> K995*L995</f>
        <v>1000</v>
      </c>
      <c r="N995" s="14">
        <f xml:space="preserve"> M995 * $Q$3</f>
        <v>15</v>
      </c>
      <c r="O995" s="5"/>
    </row>
    <row r="996" spans="1:15">
      <c r="A996" s="2">
        <v>995</v>
      </c>
      <c r="B996" s="4">
        <f>DAY(E996)</f>
        <v>30</v>
      </c>
      <c r="C996" s="4">
        <f>MONTH(E996)</f>
        <v>4</v>
      </c>
      <c r="D996" s="4">
        <f>YEAR(E996)</f>
        <v>2023</v>
      </c>
      <c r="E996" s="17">
        <v>45046</v>
      </c>
      <c r="F996" s="4" t="s">
        <v>1018</v>
      </c>
      <c r="G996" s="4" t="s">
        <v>19</v>
      </c>
      <c r="H996" s="4">
        <v>41</v>
      </c>
      <c r="I996" s="4" t="str" cm="1">
        <f t="array" ref="I996">_xlfn.IFS(
  H996&lt;30,"Young Adult",
  H996&lt;50,"Adult",
  H996&gt;=50,"Senior"
)</f>
        <v>Adult</v>
      </c>
      <c r="J996" s="4" t="s">
        <v>20</v>
      </c>
      <c r="K996" s="4">
        <v>1</v>
      </c>
      <c r="L996" s="5">
        <v>30</v>
      </c>
      <c r="M996" s="5">
        <f xml:space="preserve"> K996*L996</f>
        <v>30</v>
      </c>
      <c r="N996" s="14">
        <f xml:space="preserve"> M996 * $Q$3</f>
        <v>0.44999999999999996</v>
      </c>
      <c r="O996" s="5"/>
    </row>
    <row r="997" spans="1:15">
      <c r="A997" s="2">
        <v>996</v>
      </c>
      <c r="B997" s="4">
        <f>DAY(E997)</f>
        <v>16</v>
      </c>
      <c r="C997" s="4">
        <f>MONTH(E997)</f>
        <v>5</v>
      </c>
      <c r="D997" s="4">
        <f>YEAR(E997)</f>
        <v>2023</v>
      </c>
      <c r="E997" s="17">
        <v>45062</v>
      </c>
      <c r="F997" s="4" t="s">
        <v>1019</v>
      </c>
      <c r="G997" s="4" t="s">
        <v>15</v>
      </c>
      <c r="H997" s="4">
        <v>62</v>
      </c>
      <c r="I997" s="4" t="str" cm="1">
        <f t="array" ref="I997">_xlfn.IFS(
  H997&lt;30,"Young Adult",
  H997&lt;50,"Adult",
  H997&gt;=50,"Senior"
)</f>
        <v>Senior</v>
      </c>
      <c r="J997" s="4" t="s">
        <v>20</v>
      </c>
      <c r="K997" s="4">
        <v>1</v>
      </c>
      <c r="L997" s="5">
        <v>50</v>
      </c>
      <c r="M997" s="5">
        <f xml:space="preserve"> K997*L997</f>
        <v>50</v>
      </c>
      <c r="N997" s="14">
        <f xml:space="preserve"> M997 * $Q$3</f>
        <v>0.75</v>
      </c>
      <c r="O997" s="5"/>
    </row>
    <row r="998" spans="1:15">
      <c r="A998" s="2">
        <v>997</v>
      </c>
      <c r="B998" s="4">
        <f>DAY(E998)</f>
        <v>17</v>
      </c>
      <c r="C998" s="4">
        <f>MONTH(E998)</f>
        <v>11</v>
      </c>
      <c r="D998" s="4">
        <f>YEAR(E998)</f>
        <v>2023</v>
      </c>
      <c r="E998" s="3">
        <v>45247</v>
      </c>
      <c r="F998" s="4" t="s">
        <v>1020</v>
      </c>
      <c r="G998" s="4" t="s">
        <v>15</v>
      </c>
      <c r="H998" s="4">
        <v>52</v>
      </c>
      <c r="I998" s="4" t="str" cm="1">
        <f t="array" ref="I998">_xlfn.IFS(
  H998&lt;30,"Young Adult",
  H998&lt;50,"Adult",
  H998&gt;=50,"Senior"
)</f>
        <v>Senior</v>
      </c>
      <c r="J998" s="4" t="s">
        <v>16</v>
      </c>
      <c r="K998" s="4">
        <v>3</v>
      </c>
      <c r="L998" s="5">
        <v>30</v>
      </c>
      <c r="M998" s="5">
        <f xml:space="preserve"> K998*L998</f>
        <v>90</v>
      </c>
      <c r="N998" s="14">
        <f xml:space="preserve"> M998 * $Q$3</f>
        <v>1.3499999999999999</v>
      </c>
      <c r="O998" s="5"/>
    </row>
    <row r="999" spans="1:15">
      <c r="A999" s="2">
        <v>998</v>
      </c>
      <c r="B999" s="4">
        <f>DAY(E999)</f>
        <v>29</v>
      </c>
      <c r="C999" s="4">
        <f>MONTH(E999)</f>
        <v>10</v>
      </c>
      <c r="D999" s="4">
        <f>YEAR(E999)</f>
        <v>2023</v>
      </c>
      <c r="E999" s="3">
        <v>45228</v>
      </c>
      <c r="F999" s="4" t="s">
        <v>1021</v>
      </c>
      <c r="G999" s="4" t="s">
        <v>19</v>
      </c>
      <c r="H999" s="4">
        <v>23</v>
      </c>
      <c r="I999" s="4" t="str" cm="1">
        <f t="array" ref="I999">_xlfn.IFS(
  H999&lt;30,"Young Adult",
  H999&lt;50,"Adult",
  H999&gt;=50,"Senior"
)</f>
        <v>Young Adult</v>
      </c>
      <c r="J999" s="4" t="s">
        <v>16</v>
      </c>
      <c r="K999" s="4">
        <v>4</v>
      </c>
      <c r="L999" s="5">
        <v>25</v>
      </c>
      <c r="M999" s="5">
        <f xml:space="preserve"> K999*L999</f>
        <v>100</v>
      </c>
      <c r="N999" s="14">
        <f xml:space="preserve"> M999 * $Q$3</f>
        <v>1.5</v>
      </c>
      <c r="O999" s="5"/>
    </row>
    <row r="1000" spans="1:15">
      <c r="A1000" s="2">
        <v>999</v>
      </c>
      <c r="B1000" s="4">
        <f>DAY(E1000)</f>
        <v>5</v>
      </c>
      <c r="C1000" s="4">
        <f>MONTH(E1000)</f>
        <v>12</v>
      </c>
      <c r="D1000" s="4">
        <f>YEAR(E1000)</f>
        <v>2023</v>
      </c>
      <c r="E1000" s="3">
        <v>45265</v>
      </c>
      <c r="F1000" s="4" t="s">
        <v>1022</v>
      </c>
      <c r="G1000" s="4" t="s">
        <v>19</v>
      </c>
      <c r="H1000" s="4">
        <v>36</v>
      </c>
      <c r="I1000" s="4" t="str" cm="1">
        <f t="array" ref="I1000">_xlfn.IFS(
  H1000&lt;30,"Young Adult",
  H1000&lt;50,"Adult",
  H1000&gt;=50,"Senior"
)</f>
        <v>Adult</v>
      </c>
      <c r="J1000" s="4" t="s">
        <v>23</v>
      </c>
      <c r="K1000" s="4">
        <v>3</v>
      </c>
      <c r="L1000" s="5">
        <v>50</v>
      </c>
      <c r="M1000" s="5">
        <f xml:space="preserve"> K1000*L1000</f>
        <v>150</v>
      </c>
      <c r="N1000" s="14">
        <f xml:space="preserve"> M1000 * $Q$3</f>
        <v>2.25</v>
      </c>
      <c r="O1000" s="5"/>
    </row>
    <row r="1001" spans="1:15">
      <c r="A1001" s="6">
        <v>1000</v>
      </c>
      <c r="B1001" s="4">
        <f>DAY(E1001)</f>
        <v>12</v>
      </c>
      <c r="C1001" s="4">
        <f>MONTH(E1001)</f>
        <v>4</v>
      </c>
      <c r="D1001" s="4">
        <f>YEAR(E1001)</f>
        <v>2023</v>
      </c>
      <c r="E1001" s="19">
        <v>45028</v>
      </c>
      <c r="F1001" s="7" t="s">
        <v>1023</v>
      </c>
      <c r="G1001" s="7" t="s">
        <v>15</v>
      </c>
      <c r="H1001" s="7">
        <v>47</v>
      </c>
      <c r="I1001" s="4" t="str" cm="1">
        <f t="array" ref="I1001">_xlfn.IFS(
  H1001&lt;30,"Young Adult",
  H1001&lt;50,"Adult",
  H1001&gt;=50,"Senior"
)</f>
        <v>Adult</v>
      </c>
      <c r="J1001" s="7" t="s">
        <v>23</v>
      </c>
      <c r="K1001" s="7">
        <v>4</v>
      </c>
      <c r="L1001" s="8">
        <v>30</v>
      </c>
      <c r="M1001" s="5">
        <f xml:space="preserve"> K1001*L1001</f>
        <v>120</v>
      </c>
      <c r="N1001" s="14">
        <f xml:space="preserve"> M1001 * $Q$3</f>
        <v>1.7999999999999998</v>
      </c>
      <c r="O1001" s="8"/>
    </row>
  </sheetData>
  <autoFilter ref="A1:N1001" xr:uid="{00000000-0001-0000-0000-000000000000}">
    <sortState xmlns:xlrd2="http://schemas.microsoft.com/office/spreadsheetml/2017/richdata2" ref="A2:N1001">
      <sortCondition ref="A1:A1001"/>
    </sortState>
  </autoFilter>
  <mergeCells count="1">
    <mergeCell ref="R8:S8"/>
  </mergeCells>
  <conditionalFormatting sqref="Q9:Q12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:Q1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9:Q12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Q9:Q12">
    <cfRule type="colorScale" priority="1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Q9:Q12">
    <cfRule type="colorScale" priority="12">
      <colorScale>
        <cfvo type="min"/>
        <cfvo type="max"/>
        <color rgb="FFF8696B"/>
        <color rgb="FFFCFCFF"/>
      </colorScale>
    </cfRule>
  </conditionalFormatting>
  <conditionalFormatting sqref="Q9:Q12">
    <cfRule type="colorScale" priority="11">
      <colorScale>
        <cfvo type="min"/>
        <cfvo type="max"/>
        <color rgb="FFFCFCFF"/>
        <color rgb="FF63BE7B"/>
      </colorScale>
    </cfRule>
  </conditionalFormatting>
  <conditionalFormatting sqref="Q9:Q1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9:Q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D16"/>
  <sheetViews>
    <sheetView workbookViewId="0">
      <selection activeCell="B9" sqref="B9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4">
      <c r="A1" s="1" t="s">
        <v>0</v>
      </c>
      <c r="B1" s="1" t="s">
        <v>28</v>
      </c>
      <c r="C1" s="1" t="s">
        <v>1024</v>
      </c>
      <c r="D1" t="s">
        <v>1025</v>
      </c>
    </row>
    <row r="2" spans="1:4">
      <c r="A2">
        <v>10</v>
      </c>
      <c r="B2" cm="1">
        <f t="array" ref="B2">VLOOKUP(A2,retail_sales_dataset!A:N, COLUMN(retail_sales_dataset!M:M), FALSE)</f>
        <v>200</v>
      </c>
      <c r="C2" t="str" cm="1">
        <f t="array" ref="C2">VLOOKUP(A2, retail_sales_dataset!A:N, COLUMN(retail_sales_dataset!J:J), FALSE)</f>
        <v>Clothing</v>
      </c>
      <c r="D2" t="str">
        <f>CONCATENATE(B2, " ", C2)</f>
        <v>200 Clothing</v>
      </c>
    </row>
    <row r="3" spans="1:4">
      <c r="A3">
        <v>15</v>
      </c>
      <c r="B3">
        <f>VLOOKUP(A3,retail_sales_dataset!A:N, 13, FALSE)</f>
        <v>2000</v>
      </c>
      <c r="C3" t="str" cm="1">
        <f t="array" ref="C3">VLOOKUP(A3, retail_sales_dataset!A:N, COLUMN(retail_sales_dataset!J:J), FALSE)</f>
        <v>Electronics</v>
      </c>
      <c r="D3" t="str">
        <f t="shared" ref="D3:D10" si="0">CONCATENATE(B3," ", C3)</f>
        <v>2000 Electronics</v>
      </c>
    </row>
    <row r="4" spans="1:4">
      <c r="A4">
        <v>25</v>
      </c>
      <c r="B4">
        <f>VLOOKUP(A4,retail_sales_dataset!A:N, 13, FALSE)</f>
        <v>50</v>
      </c>
      <c r="C4" t="str" cm="1">
        <f t="array" ref="C4">VLOOKUP(A4, retail_sales_dataset!A:N, COLUMN(retail_sales_dataset!J:J), FALSE)</f>
        <v>Beauty</v>
      </c>
      <c r="D4" t="str">
        <f t="shared" si="0"/>
        <v>50 Beauty</v>
      </c>
    </row>
    <row r="5" spans="1:4">
      <c r="A5">
        <v>30</v>
      </c>
      <c r="B5">
        <f>VLOOKUP(A5,retail_sales_dataset!A:N, 13, FALSE)</f>
        <v>900</v>
      </c>
      <c r="C5" t="str" cm="1">
        <f t="array" ref="C5">VLOOKUP(A5, retail_sales_dataset!A:N, COLUMN(retail_sales_dataset!J:J), FALSE)</f>
        <v>Beauty</v>
      </c>
      <c r="D5" t="str">
        <f t="shared" si="0"/>
        <v>900 Beauty</v>
      </c>
    </row>
    <row r="6" spans="1:4">
      <c r="A6">
        <v>54</v>
      </c>
      <c r="B6">
        <f>VLOOKUP(A6,retail_sales_dataset!A:N, 13, FALSE)</f>
        <v>1500</v>
      </c>
      <c r="C6" t="str" cm="1">
        <f t="array" ref="C6">VLOOKUP(A6, retail_sales_dataset!A:N, COLUMN(retail_sales_dataset!J:J), FALSE)</f>
        <v>Electronics</v>
      </c>
      <c r="D6" t="str">
        <f t="shared" si="0"/>
        <v>1500 Electronics</v>
      </c>
    </row>
    <row r="7" spans="1:4">
      <c r="A7">
        <v>55</v>
      </c>
      <c r="B7">
        <f>VLOOKUP(A7,retail_sales_dataset!A:N, 13, FALSE)</f>
        <v>120</v>
      </c>
      <c r="C7" t="str" cm="1">
        <f t="array" ref="C7">VLOOKUP(A7, retail_sales_dataset!A:N, COLUMN(retail_sales_dataset!J:J), FALSE)</f>
        <v>Beauty</v>
      </c>
      <c r="D7" t="str">
        <f t="shared" si="0"/>
        <v>120 Beauty</v>
      </c>
    </row>
    <row r="8" spans="1:4">
      <c r="A8">
        <v>67</v>
      </c>
      <c r="B8">
        <f>VLOOKUP(A8,retail_sales_dataset!A:N, 13, FALSE)</f>
        <v>1200</v>
      </c>
      <c r="C8" t="str" cm="1">
        <f t="array" ref="C8">VLOOKUP(A8, retail_sales_dataset!A:N, COLUMN(retail_sales_dataset!J:J), FALSE)</f>
        <v>Beauty</v>
      </c>
      <c r="D8" t="str">
        <f t="shared" si="0"/>
        <v>1200 Beauty</v>
      </c>
    </row>
    <row r="9" spans="1:4">
      <c r="A9">
        <v>89</v>
      </c>
      <c r="B9">
        <f>VLOOKUP(A9,retail_sales_dataset!A:N, 13, FALSE)</f>
        <v>2000</v>
      </c>
      <c r="C9" t="str" cm="1">
        <f t="array" ref="C9">VLOOKUP(A9, retail_sales_dataset!A:N, COLUMN(retail_sales_dataset!J:J), FALSE)</f>
        <v>Electronics</v>
      </c>
      <c r="D9" t="str">
        <f t="shared" si="0"/>
        <v>2000 Electronics</v>
      </c>
    </row>
    <row r="10" spans="1:4">
      <c r="A10">
        <v>100</v>
      </c>
      <c r="B10">
        <f>VLOOKUP(A10,retail_sales_dataset!A:N, 13, FALSE)</f>
        <v>30</v>
      </c>
      <c r="C10" t="str" cm="1">
        <f t="array" ref="C10">VLOOKUP(A10, retail_sales_dataset!A:N, COLUMN(retail_sales_dataset!J:J), FALSE)</f>
        <v>Electronics</v>
      </c>
      <c r="D10" t="str">
        <f t="shared" si="0"/>
        <v>30 Electronics</v>
      </c>
    </row>
    <row r="12" spans="1:4">
      <c r="A12" s="24" t="s">
        <v>1026</v>
      </c>
      <c r="B12" s="24"/>
      <c r="C12" s="24"/>
      <c r="D12" s="24"/>
    </row>
    <row r="13" spans="1:4">
      <c r="A13">
        <f>COUNT(A2:A10)</f>
        <v>9</v>
      </c>
      <c r="B13">
        <f t="shared" ref="B13:D13" si="1">COUNT(B2:B10)</f>
        <v>9</v>
      </c>
      <c r="C13">
        <f t="shared" si="1"/>
        <v>0</v>
      </c>
      <c r="D13">
        <f t="shared" si="1"/>
        <v>0</v>
      </c>
    </row>
    <row r="15" spans="1:4">
      <c r="A15" s="24" t="s">
        <v>1027</v>
      </c>
      <c r="B15" s="24"/>
      <c r="C15" s="24"/>
      <c r="D15" s="24"/>
    </row>
    <row r="16" spans="1:4">
      <c r="A16">
        <f>COUNTA(A2:A10)</f>
        <v>9</v>
      </c>
      <c r="B16">
        <f t="shared" ref="B16:D16" si="2">COUNTA(B2:B10)</f>
        <v>9</v>
      </c>
      <c r="C16">
        <f t="shared" si="2"/>
        <v>9</v>
      </c>
      <c r="D16">
        <f t="shared" si="2"/>
        <v>9</v>
      </c>
    </row>
  </sheetData>
  <mergeCells count="2">
    <mergeCell ref="A12:D12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5263-79C2-4663-802F-3D2263F4E809}">
  <dimension ref="A2:B6"/>
  <sheetViews>
    <sheetView workbookViewId="0">
      <selection activeCell="G13" sqref="G13"/>
    </sheetView>
  </sheetViews>
  <sheetFormatPr defaultRowHeight="15.75"/>
  <cols>
    <col min="1" max="1" width="18.375" bestFit="1" customWidth="1"/>
    <col min="2" max="3" width="11.5" bestFit="1" customWidth="1"/>
    <col min="4" max="4" width="10.75" bestFit="1" customWidth="1"/>
    <col min="5" max="5" width="9.5" bestFit="1" customWidth="1"/>
    <col min="6" max="6" width="6.125" bestFit="1" customWidth="1"/>
    <col min="7" max="7" width="12.625" bestFit="1" customWidth="1"/>
    <col min="8" max="8" width="11.625" bestFit="1" customWidth="1"/>
    <col min="9" max="9" width="6.125" bestFit="1" customWidth="1"/>
    <col min="10" max="10" width="14.75" bestFit="1" customWidth="1"/>
    <col min="11" max="11" width="10.75" bestFit="1" customWidth="1"/>
  </cols>
  <sheetData>
    <row r="2" spans="1:2">
      <c r="A2" s="23" t="s">
        <v>9</v>
      </c>
      <c r="B2" t="s">
        <v>1028</v>
      </c>
    </row>
    <row r="3" spans="1:2">
      <c r="A3" t="s">
        <v>16</v>
      </c>
      <c r="B3">
        <v>143515</v>
      </c>
    </row>
    <row r="4" spans="1:2">
      <c r="A4" t="s">
        <v>20</v>
      </c>
      <c r="B4">
        <v>155580</v>
      </c>
    </row>
    <row r="5" spans="1:2">
      <c r="A5" t="s">
        <v>23</v>
      </c>
      <c r="B5">
        <v>156905</v>
      </c>
    </row>
    <row r="6" spans="1:2">
      <c r="A6" t="s">
        <v>1029</v>
      </c>
      <c r="B6">
        <v>456000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7480-33AB-40E6-AF11-7AB3DE4D3370}">
  <dimension ref="A2:D7"/>
  <sheetViews>
    <sheetView workbookViewId="0">
      <selection activeCell="B6" sqref="B6"/>
    </sheetView>
  </sheetViews>
  <sheetFormatPr defaultRowHeight="15.75"/>
  <cols>
    <col min="1" max="1" width="18.375" bestFit="1" customWidth="1"/>
    <col min="2" max="2" width="10" bestFit="1" customWidth="1"/>
    <col min="3" max="3" width="7" bestFit="1" customWidth="1"/>
    <col min="4" max="4" width="10.75" bestFit="1" customWidth="1"/>
    <col min="5" max="5" width="9.5" bestFit="1" customWidth="1"/>
    <col min="6" max="6" width="7" bestFit="1" customWidth="1"/>
    <col min="7" max="7" width="12.625" bestFit="1" customWidth="1"/>
    <col min="8" max="8" width="11.625" bestFit="1" customWidth="1"/>
    <col min="9" max="9" width="7" bestFit="1" customWidth="1"/>
    <col min="10" max="10" width="14.75" bestFit="1" customWidth="1"/>
    <col min="11" max="11" width="10.75" bestFit="1" customWidth="1"/>
  </cols>
  <sheetData>
    <row r="2" spans="1:4">
      <c r="A2" s="23" t="s">
        <v>1028</v>
      </c>
      <c r="B2" s="23" t="s">
        <v>6</v>
      </c>
    </row>
    <row r="3" spans="1:4">
      <c r="A3" s="23" t="s">
        <v>9</v>
      </c>
      <c r="B3" t="s">
        <v>19</v>
      </c>
      <c r="C3" t="s">
        <v>15</v>
      </c>
      <c r="D3" t="s">
        <v>1029</v>
      </c>
    </row>
    <row r="4" spans="1:4">
      <c r="A4" t="s">
        <v>16</v>
      </c>
      <c r="B4" s="12">
        <v>0.16410087719298247</v>
      </c>
      <c r="C4" s="12">
        <v>0.15062500000000001</v>
      </c>
      <c r="D4" s="12">
        <v>0.31472587719298245</v>
      </c>
    </row>
    <row r="5" spans="1:4">
      <c r="A5" t="s">
        <v>20</v>
      </c>
      <c r="B5" s="12">
        <v>0.17823464912280701</v>
      </c>
      <c r="C5" s="12">
        <v>0.16294956140350877</v>
      </c>
      <c r="D5" s="12">
        <v>0.34118421052631581</v>
      </c>
    </row>
    <row r="6" spans="1:4">
      <c r="A6" t="s">
        <v>23</v>
      </c>
      <c r="B6" s="12">
        <v>0.16827850877192982</v>
      </c>
      <c r="C6" s="12">
        <v>0.17581140350877192</v>
      </c>
      <c r="D6" s="12">
        <v>0.34408991228070174</v>
      </c>
    </row>
    <row r="7" spans="1:4">
      <c r="A7" t="s">
        <v>1029</v>
      </c>
      <c r="B7" s="12">
        <v>0.5106140350877193</v>
      </c>
      <c r="C7" s="12">
        <v>0.4893859649122807</v>
      </c>
      <c r="D7" s="12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768A1-B9D5-4903-8C25-DE327A8148F0}">
  <dimension ref="A2:K8"/>
  <sheetViews>
    <sheetView tabSelected="1" workbookViewId="0">
      <selection activeCell="Q19" sqref="Q19"/>
    </sheetView>
  </sheetViews>
  <sheetFormatPr defaultRowHeight="15.75"/>
  <cols>
    <col min="1" max="1" width="18.375" bestFit="1" customWidth="1"/>
    <col min="2" max="2" width="13.25" bestFit="1" customWidth="1"/>
    <col min="3" max="3" width="10" bestFit="1" customWidth="1"/>
    <col min="4" max="4" width="16" bestFit="1" customWidth="1"/>
    <col min="5" max="6" width="8.875" bestFit="1" customWidth="1"/>
    <col min="7" max="7" width="10.375" bestFit="1" customWidth="1"/>
    <col min="8" max="9" width="8.875" bestFit="1" customWidth="1"/>
    <col min="10" max="10" width="11" bestFit="1" customWidth="1"/>
    <col min="11" max="11" width="10.75" bestFit="1" customWidth="1"/>
    <col min="12" max="13" width="5" bestFit="1" customWidth="1"/>
    <col min="14" max="14" width="16" bestFit="1" customWidth="1"/>
    <col min="15" max="15" width="7.125" bestFit="1" customWidth="1"/>
    <col min="16" max="34" width="5" bestFit="1" customWidth="1"/>
    <col min="35" max="35" width="10.25" bestFit="1" customWidth="1"/>
    <col min="36" max="36" width="7.875" bestFit="1" customWidth="1"/>
    <col min="37" max="50" width="5" bestFit="1" customWidth="1"/>
    <col min="51" max="51" width="11" bestFit="1" customWidth="1"/>
    <col min="52" max="52" width="10.75" bestFit="1" customWidth="1"/>
  </cols>
  <sheetData>
    <row r="2" spans="1:11">
      <c r="A2" s="23" t="s">
        <v>1028</v>
      </c>
      <c r="B2" s="23" t="s">
        <v>8</v>
      </c>
      <c r="C2" s="23" t="s">
        <v>6</v>
      </c>
    </row>
    <row r="3" spans="1:11">
      <c r="B3" t="s">
        <v>1030</v>
      </c>
      <c r="D3" t="s">
        <v>1031</v>
      </c>
      <c r="E3" t="s">
        <v>1032</v>
      </c>
      <c r="G3" t="s">
        <v>1033</v>
      </c>
      <c r="H3" t="s">
        <v>1034</v>
      </c>
      <c r="J3" t="s">
        <v>1035</v>
      </c>
      <c r="K3" t="s">
        <v>1029</v>
      </c>
    </row>
    <row r="4" spans="1:11">
      <c r="A4" s="23" t="s">
        <v>9</v>
      </c>
      <c r="B4" t="s">
        <v>19</v>
      </c>
      <c r="C4" t="s">
        <v>15</v>
      </c>
      <c r="E4" t="s">
        <v>19</v>
      </c>
      <c r="F4" t="s">
        <v>15</v>
      </c>
      <c r="H4" t="s">
        <v>19</v>
      </c>
      <c r="I4" t="s">
        <v>15</v>
      </c>
    </row>
    <row r="5" spans="1:11">
      <c r="A5" t="s">
        <v>23</v>
      </c>
      <c r="B5">
        <v>19655</v>
      </c>
      <c r="C5">
        <v>15950</v>
      </c>
      <c r="D5">
        <v>35605</v>
      </c>
      <c r="E5">
        <v>30410</v>
      </c>
      <c r="F5">
        <v>28890</v>
      </c>
      <c r="G5">
        <v>59300</v>
      </c>
      <c r="H5">
        <v>26670</v>
      </c>
      <c r="I5">
        <v>35330</v>
      </c>
      <c r="J5">
        <v>62000</v>
      </c>
      <c r="K5">
        <v>156905</v>
      </c>
    </row>
    <row r="6" spans="1:11">
      <c r="A6" t="s">
        <v>20</v>
      </c>
      <c r="B6">
        <v>24220</v>
      </c>
      <c r="C6">
        <v>21930</v>
      </c>
      <c r="D6">
        <v>46150</v>
      </c>
      <c r="E6">
        <v>31970</v>
      </c>
      <c r="F6">
        <v>30390</v>
      </c>
      <c r="G6">
        <v>62360</v>
      </c>
      <c r="H6">
        <v>25085</v>
      </c>
      <c r="I6">
        <v>21985</v>
      </c>
      <c r="J6">
        <v>47070</v>
      </c>
      <c r="K6">
        <v>155580</v>
      </c>
    </row>
    <row r="7" spans="1:11">
      <c r="A7" t="s">
        <v>16</v>
      </c>
      <c r="B7">
        <v>19650</v>
      </c>
      <c r="C7">
        <v>21750</v>
      </c>
      <c r="D7">
        <v>41400</v>
      </c>
      <c r="E7">
        <v>35170</v>
      </c>
      <c r="F7">
        <v>32860</v>
      </c>
      <c r="G7">
        <v>68030</v>
      </c>
      <c r="H7">
        <v>20010</v>
      </c>
      <c r="I7">
        <v>14075</v>
      </c>
      <c r="J7">
        <v>34085</v>
      </c>
      <c r="K7">
        <v>143515</v>
      </c>
    </row>
    <row r="8" spans="1:11">
      <c r="A8" t="s">
        <v>1029</v>
      </c>
      <c r="B8">
        <v>63525</v>
      </c>
      <c r="C8">
        <v>59630</v>
      </c>
      <c r="D8">
        <v>123155</v>
      </c>
      <c r="E8">
        <v>97550</v>
      </c>
      <c r="F8">
        <v>92140</v>
      </c>
      <c r="G8">
        <v>189690</v>
      </c>
      <c r="H8">
        <v>71765</v>
      </c>
      <c r="I8">
        <v>71390</v>
      </c>
      <c r="J8">
        <v>143155</v>
      </c>
      <c r="K8">
        <v>456000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BEF40CDB6EE64C91503E14B2EB15CB" ma:contentTypeVersion="11" ma:contentTypeDescription="Create a new document." ma:contentTypeScope="" ma:versionID="f23ef3256b378ecdf23651ade9a2f732">
  <xsd:schema xmlns:xsd="http://www.w3.org/2001/XMLSchema" xmlns:xs="http://www.w3.org/2001/XMLSchema" xmlns:p="http://schemas.microsoft.com/office/2006/metadata/properties" xmlns:ns2="bec6b80c-bcd8-4e1e-9750-17f532ec14e3" xmlns:ns3="b083506d-6977-47cd-82b9-1604811a4127" targetNamespace="http://schemas.microsoft.com/office/2006/metadata/properties" ma:root="true" ma:fieldsID="a706942f37ccca6456988b62e68fd233" ns2:_="" ns3:_="">
    <xsd:import namespace="bec6b80c-bcd8-4e1e-9750-17f532ec14e3"/>
    <xsd:import namespace="b083506d-6977-47cd-82b9-1604811a4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6b80c-bcd8-4e1e-9750-17f532ec14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3506d-6977-47cd-82b9-1604811a412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d4ba04e-7910-43f7-b5a8-48fdb0751b50}" ma:internalName="TaxCatchAll" ma:showField="CatchAllData" ma:web="b083506d-6977-47cd-82b9-1604811a4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83506d-6977-47cd-82b9-1604811a4127" xsi:nil="true"/>
    <lcf76f155ced4ddcb4097134ff3c332f xmlns="bec6b80c-bcd8-4e1e-9750-17f532ec14e3">
      <Terms xmlns="http://schemas.microsoft.com/office/infopath/2007/PartnerControls"/>
    </lcf76f155ced4ddcb4097134ff3c332f>
  </documentManagement>
</p:properties>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Props1.xml><?xml version="1.0" encoding="utf-8"?>
<ds:datastoreItem xmlns:ds="http://schemas.openxmlformats.org/officeDocument/2006/customXml" ds:itemID="{3E8CB0BE-C4BA-4913-9C77-CD4B1441093A}"/>
</file>

<file path=customXml/itemProps2.xml><?xml version="1.0" encoding="utf-8"?>
<ds:datastoreItem xmlns:ds="http://schemas.openxmlformats.org/officeDocument/2006/customXml" ds:itemID="{19C66761-A138-4D29-95EB-4CF018C84C81}"/>
</file>

<file path=customXml/itemProps3.xml><?xml version="1.0" encoding="utf-8"?>
<ds:datastoreItem xmlns:ds="http://schemas.openxmlformats.org/officeDocument/2006/customXml" ds:itemID="{DD9334D5-6C08-4A46-AD2C-FA9BF6D4670C}"/>
</file>

<file path=customXml/itemProps4.xml><?xml version="1.0" encoding="utf-8"?>
<ds:datastoreItem xmlns:ds="http://schemas.openxmlformats.org/officeDocument/2006/customXml" ds:itemID="{6DA07CEC-807D-4764-A388-A6BBED7640E0}"/>
</file>

<file path=customXml/itemProps5.xml><?xml version="1.0" encoding="utf-8"?>
<ds:datastoreItem xmlns:ds="http://schemas.openxmlformats.org/officeDocument/2006/customXml" ds:itemID="{F7DF3BB0-0FBD-4832-B572-CF5E9A95903D}"/>
</file>

<file path=customXml/itemProps6.xml><?xml version="1.0" encoding="utf-8"?>
<ds:datastoreItem xmlns:ds="http://schemas.openxmlformats.org/officeDocument/2006/customXml" ds:itemID="{FE6DF61C-7ABD-44B9-B769-8F2899BB81F7}"/>
</file>

<file path=customXml/itemProps7.xml><?xml version="1.0" encoding="utf-8"?>
<ds:datastoreItem xmlns:ds="http://schemas.openxmlformats.org/officeDocument/2006/customXml" ds:itemID="{E2D36A1E-236C-4E19-9955-D6B07E5D30B7}"/>
</file>

<file path=customXml/itemProps8.xml><?xml version="1.0" encoding="utf-8"?>
<ds:datastoreItem xmlns:ds="http://schemas.openxmlformats.org/officeDocument/2006/customXml" ds:itemID="{09B95C5D-16BB-4BEF-B316-6D3A8C9DD811}"/>
</file>

<file path=customXml/itemProps9.xml><?xml version="1.0" encoding="utf-8"?>
<ds:datastoreItem xmlns:ds="http://schemas.openxmlformats.org/officeDocument/2006/customXml" ds:itemID="{06D295F5-8058-4546-A127-35DC9120150C}"/>
</file>

<file path=customXml/itemProps10.xml><?xml version="1.0" encoding="utf-8"?>
<ds:datastoreItem xmlns:ds="http://schemas.openxmlformats.org/officeDocument/2006/customXml" ds:itemID="{B0863CD4-1E7A-4D88-A05C-62E37A52A464}"/>
</file>

<file path=customXml/itemProps11.xml><?xml version="1.0" encoding="utf-8"?>
<ds:datastoreItem xmlns:ds="http://schemas.openxmlformats.org/officeDocument/2006/customXml" ds:itemID="{0ECF1352-6F0C-4E7B-8AFB-2EA761E69D98}"/>
</file>

<file path=customXml/itemProps12.xml><?xml version="1.0" encoding="utf-8"?>
<ds:datastoreItem xmlns:ds="http://schemas.openxmlformats.org/officeDocument/2006/customXml" ds:itemID="{B46F128A-B7FE-46C0-9B9B-600600B1B28E}"/>
</file>

<file path=customXml/itemProps13.xml><?xml version="1.0" encoding="utf-8"?>
<ds:datastoreItem xmlns:ds="http://schemas.openxmlformats.org/officeDocument/2006/customXml" ds:itemID="{A4B88D49-EA58-47E5-AA07-36D60BC9149C}"/>
</file>

<file path=customXml/itemProps14.xml><?xml version="1.0" encoding="utf-8"?>
<ds:datastoreItem xmlns:ds="http://schemas.openxmlformats.org/officeDocument/2006/customXml" ds:itemID="{8B7F014E-65B1-48DD-A1AF-A79E02398FCF}"/>
</file>

<file path=customXml/itemProps15.xml><?xml version="1.0" encoding="utf-8"?>
<ds:datastoreItem xmlns:ds="http://schemas.openxmlformats.org/officeDocument/2006/customXml" ds:itemID="{15575EC4-E142-4B68-9BA1-7D9F83EA5067}"/>
</file>

<file path=customXml/itemProps16.xml><?xml version="1.0" encoding="utf-8"?>
<ds:datastoreItem xmlns:ds="http://schemas.openxmlformats.org/officeDocument/2006/customXml" ds:itemID="{E643224C-1CC4-4A7F-A567-22ECFBDF619E}"/>
</file>

<file path=customXml/itemProps17.xml><?xml version="1.0" encoding="utf-8"?>
<ds:datastoreItem xmlns:ds="http://schemas.openxmlformats.org/officeDocument/2006/customXml" ds:itemID="{6A238311-EE1E-4F00-870C-F1577541CA78}"/>
</file>

<file path=customXml/itemProps18.xml><?xml version="1.0" encoding="utf-8"?>
<ds:datastoreItem xmlns:ds="http://schemas.openxmlformats.org/officeDocument/2006/customXml" ds:itemID="{A85E162B-7A50-4957-AE78-A5F153441C86}"/>
</file>

<file path=customXml/itemProps19.xml><?xml version="1.0" encoding="utf-8"?>
<ds:datastoreItem xmlns:ds="http://schemas.openxmlformats.org/officeDocument/2006/customXml" ds:itemID="{82F3FFA2-A909-498D-9BC6-33DF5B99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>Yusuf Satilmis</cp:lastModifiedBy>
  <cp:revision/>
  <dcterms:created xsi:type="dcterms:W3CDTF">2024-01-05T15:03:52Z</dcterms:created>
  <dcterms:modified xsi:type="dcterms:W3CDTF">2026-07-01T12:45:59Z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0x010100C0BEF40CDB6EE64C91503E14B2EB15CB</vt:lpwstr>
  </property>
  <property fmtid="{D5CDD505-2E9C-101B-9397-08002B2CF9AE}" pid="3" name="Order">
    <vt:r8>700</vt:r8>
  </property>
  <property fmtid="{D5CDD505-2E9C-101B-9397-08002B2CF9AE}" pid="4" name="MediaServiceImageTags">
    <vt:lpwstr/>
  </property>
</Properties>
</file>